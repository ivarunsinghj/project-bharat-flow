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Dashboard" sheetId="1" state="visible" r:id="rId2"/>
    <sheet name="Inventory_ABC_XYZ" sheetId="2" state="visible" r:id="rId3"/>
    <sheet name="Customer_RFM_Analysis" sheetId="3" state="visible" r:id="rId4"/>
    <sheet name="Logistics_Hub_Diagnostic" sheetId="4" state="visible" r:id="rId5"/>
    <sheet name="Assumptions_Data_Model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<sst xmlns="http://schemas.openxmlformats.org/spreadsheetml/2006/main" count="7729" uniqueCount="2008">
  <si>
    <t xml:space="preserve">PROJECT BHARAT-FLOW: ONDC RETAIL INVENTORY &amp; CUSTOMER INTELLIGENCE</t>
  </si>
  <si>
    <t xml:space="preserve">Executive KPI Scorecard | Pan-India Multi-Echelon Retail Supply Chain (Oct 2025 – Sep 2026)</t>
  </si>
  <si>
    <t xml:space="preserve">NETWORK INVENTORY VALUE</t>
  </si>
  <si>
    <t xml:space="preserve">DELIVERED ANNUAL GMV</t>
  </si>
  <si>
    <t xml:space="preserve">ON-TIME SLA RATE</t>
  </si>
  <si>
    <t xml:space="preserve">ACTIVE BUYER BASE</t>
  </si>
  <si>
    <t xml:space="preserve">595 SKU-Hub Positions</t>
  </si>
  <si>
    <t xml:space="preserve">19,349 Line Items</t>
  </si>
  <si>
    <t xml:space="preserve">Target: &gt;= 85.0%</t>
  </si>
  <si>
    <t xml:space="preserve">83.8% Network Activation</t>
  </si>
  <si>
    <t xml:space="preserve">Table 1: Product Category Performance &amp; Margin Architecture</t>
  </si>
  <si>
    <t xml:space="preserve">Category</t>
  </si>
  <si>
    <t xml:space="preserve">Active SKUs</t>
  </si>
  <si>
    <t xml:space="preserve">Units Sold</t>
  </si>
  <si>
    <t xml:space="preserve">Gross Revenue (₹)</t>
  </si>
  <si>
    <t xml:space="preserve">COGS (₹)</t>
  </si>
  <si>
    <t xml:space="preserve">Gross Profit (₹)</t>
  </si>
  <si>
    <t xml:space="preserve">Margin %</t>
  </si>
  <si>
    <t xml:space="preserve">Annual Turns</t>
  </si>
  <si>
    <t xml:space="preserve">Packaged Food &amp; Staples</t>
  </si>
  <si>
    <t xml:space="preserve">Personal &amp; Home Care</t>
  </si>
  <si>
    <t xml:space="preserve">Beverages &amp; Snacks</t>
  </si>
  <si>
    <t xml:space="preserve">Essential Pharma &amp; OTC</t>
  </si>
  <si>
    <t xml:space="preserve">Dairy &amp; Perishables</t>
  </si>
  <si>
    <t xml:space="preserve">Total / Network Weighted</t>
  </si>
  <si>
    <t xml:space="preserve">Table 2: Geographic &amp; City Tier Fulfillment Performance</t>
  </si>
  <si>
    <t xml:space="preserve">City Tier</t>
  </si>
  <si>
    <t xml:space="preserve">Registered Customers</t>
  </si>
  <si>
    <t xml:space="preserve">Active Customers</t>
  </si>
  <si>
    <t xml:space="preserve">Delivered Orders</t>
  </si>
  <si>
    <t xml:space="preserve">GMV (₹)</t>
  </si>
  <si>
    <t xml:space="preserve">AOV (₹)</t>
  </si>
  <si>
    <t xml:space="preserve">SLA Breach %</t>
  </si>
  <si>
    <t xml:space="preserve">Stockout %</t>
  </si>
  <si>
    <t xml:space="preserve">Tier-1</t>
  </si>
  <si>
    <t xml:space="preserve">Tier-2</t>
  </si>
  <si>
    <t xml:space="preserve">Tier-3</t>
  </si>
  <si>
    <t xml:space="preserve">Total / Network</t>
  </si>
  <si>
    <t xml:space="preserve">SKU-LEVEL MULTI-DIMENSIONAL ABC-XYZ INVENTORY MATRIX &amp; PRESCRIPTIVE OPTIMIZATION</t>
  </si>
  <si>
    <t xml:space="preserve">Pareto Value Classification (A/B/C) x Demand Predictability (X/Y/Z) | Dynamic ROP, EOQ, &amp; Safety Stock</t>
  </si>
  <si>
    <t xml:space="preserve">Model Logic: ABC determined by Cumulative Consumption Value (80/15/5%). XYZ determined by Demand Coeff. of Variation (CV). ROP = (d*L) + SS. EOQ = sqrt(2*D*S/H).</t>
  </si>
  <si>
    <t xml:space="preserve">SKU ID</t>
  </si>
  <si>
    <t xml:space="preserve">Product Name</t>
  </si>
  <si>
    <t xml:space="preserve">Unit Cost (₹)</t>
  </si>
  <si>
    <t xml:space="preserve">Annual Demand (Units)</t>
  </si>
  <si>
    <t xml:space="preserve">Annual Consumption (₹)</t>
  </si>
  <si>
    <t xml:space="preserve">Cumul. Value %</t>
  </si>
  <si>
    <t xml:space="preserve">ABC Class</t>
  </si>
  <si>
    <t xml:space="preserve">Demand CV</t>
  </si>
  <si>
    <t xml:space="preserve">XYZ Class</t>
  </si>
  <si>
    <t xml:space="preserve">Safety Stock (Units)</t>
  </si>
  <si>
    <t xml:space="preserve">Reorder Point (ROP)</t>
  </si>
  <si>
    <t xml:space="preserve">EOQ (Units)</t>
  </si>
  <si>
    <t xml:space="preserve">Inventory Policy</t>
  </si>
  <si>
    <t xml:space="preserve">SKU-STP-001</t>
  </si>
  <si>
    <t xml:space="preserve">Aashirvaad Shudh Chakki Atta 10kg</t>
  </si>
  <si>
    <t xml:space="preserve">SKU-STP-004</t>
  </si>
  <si>
    <t xml:space="preserve">India Gate Basmati Rice Rozzana 5kg</t>
  </si>
  <si>
    <t xml:space="preserve">SKU-HPC-007</t>
  </si>
  <si>
    <t xml:space="preserve">Head &amp; Shoulders Anti-Dandruff Shampoo 340ml</t>
  </si>
  <si>
    <t xml:space="preserve">SKU-SNK-001</t>
  </si>
  <si>
    <t xml:space="preserve">Tata Tea Premium Desh Ki Chai 500g</t>
  </si>
  <si>
    <t xml:space="preserve">SKU-SNK-007</t>
  </si>
  <si>
    <t xml:space="preserve">Cadbury Bournvita Chocolate Health Drink 500g</t>
  </si>
  <si>
    <t xml:space="preserve">SKU-HPC-006</t>
  </si>
  <si>
    <t xml:space="preserve">Lizol Disinfectant Floor Cleaner Citrus 1L</t>
  </si>
  <si>
    <t xml:space="preserve">SKU-HPC-005</t>
  </si>
  <si>
    <t xml:space="preserve">Parachute 100% Pure Coconut Oil 500ml</t>
  </si>
  <si>
    <t xml:space="preserve">SKU-STP-007</t>
  </si>
  <si>
    <t xml:space="preserve">Organic Tattva Unpolished Toor Dal 1kg</t>
  </si>
  <si>
    <t xml:space="preserve">SKU-SNK-002</t>
  </si>
  <si>
    <t xml:space="preserve">Nescafe Classic 100% Pure Instant Coffee 50g</t>
  </si>
  <si>
    <t xml:space="preserve">SKU-PHM-005</t>
  </si>
  <si>
    <t xml:space="preserve">Dettol Antiseptic Liquid 250ml</t>
  </si>
  <si>
    <t xml:space="preserve">SKU-STP-002</t>
  </si>
  <si>
    <t xml:space="preserve">Fortune Sunlite Refined Sunflower Oil 1L</t>
  </si>
  <si>
    <t xml:space="preserve">SKU-PHM-006</t>
  </si>
  <si>
    <t xml:space="preserve">PMBJP Digital Flexible Thermometer</t>
  </si>
  <si>
    <t xml:space="preserve">SKU-PHM-007</t>
  </si>
  <si>
    <t xml:space="preserve">Volini Joint &amp; Muscle Pain Relief Gel 50g</t>
  </si>
  <si>
    <t xml:space="preserve">SKU-STP-006</t>
  </si>
  <si>
    <t xml:space="preserve">Catch Turmeric Powder 500g</t>
  </si>
  <si>
    <t xml:space="preserve">SKU-HPC-001</t>
  </si>
  <si>
    <t xml:space="preserve">Surf Excel Easy Wash Detergent Powder 1kg</t>
  </si>
  <si>
    <t xml:space="preserve">SKU-SNK-003</t>
  </si>
  <si>
    <t xml:space="preserve">Haldirams Nagpur Aloo Bhujia Namkeen 400g</t>
  </si>
  <si>
    <t xml:space="preserve">SKU-HPC-004</t>
  </si>
  <si>
    <t xml:space="preserve">Dabur Red Ayurvedic Toothpaste 300g</t>
  </si>
  <si>
    <t xml:space="preserve">SKU-SNK-005</t>
  </si>
  <si>
    <t xml:space="preserve">Real Fruit Power Mixed Fruit Juice 1L</t>
  </si>
  <si>
    <t xml:space="preserve">SKU-HPC-003</t>
  </si>
  <si>
    <t xml:space="preserve">Lifebuoy Total Germ Protection Soap 125g (Pack of 4)</t>
  </si>
  <si>
    <t xml:space="preserve">SKU-PER-002</t>
  </si>
  <si>
    <t xml:space="preserve">Mother Dairy Classic Malai Paneer 200g</t>
  </si>
  <si>
    <t xml:space="preserve">SKU-HPC-002</t>
  </si>
  <si>
    <t xml:space="preserve">Vim Dishwash Gel Lemon 500ml</t>
  </si>
  <si>
    <t xml:space="preserve">SKU-PER-006</t>
  </si>
  <si>
    <t xml:space="preserve">Fresh Nashik Grade-A Red Onions 2kg</t>
  </si>
  <si>
    <t xml:space="preserve">SKU-PER-001</t>
  </si>
  <si>
    <t xml:space="preserve">Amul Taaza Homogenised Toned Milk 1L Tetra</t>
  </si>
  <si>
    <t xml:space="preserve">SKU-STP-005</t>
  </si>
  <si>
    <t xml:space="preserve">Maggi 2-Minute Masala Noodles 280g (Pack of 4)</t>
  </si>
  <si>
    <t xml:space="preserve">SKU-PER-007</t>
  </si>
  <si>
    <t xml:space="preserve">Farm Fresh Pahadi Potatoes 2kg Net Bag</t>
  </si>
  <si>
    <t xml:space="preserve">SKU-PER-004</t>
  </si>
  <si>
    <t xml:space="preserve">Epigamia Natural Greek Yogurt 90g Cup</t>
  </si>
  <si>
    <t xml:space="preserve">SKU-SNK-004</t>
  </si>
  <si>
    <t xml:space="preserve">Britannia Good Day Butter Cookies 200g</t>
  </si>
  <si>
    <t xml:space="preserve">SKU-SNK-006</t>
  </si>
  <si>
    <t xml:space="preserve">Paper Boat Aamras Alphonso Mango 250ml</t>
  </si>
  <si>
    <t xml:space="preserve">SKU-PER-005</t>
  </si>
  <si>
    <t xml:space="preserve">Farm Fresh Hybrid Salad Tomatoes 1kg</t>
  </si>
  <si>
    <t xml:space="preserve">SKU-PER-003</t>
  </si>
  <si>
    <t xml:space="preserve">Nandini Fresh Thick Curd 500g Pouch</t>
  </si>
  <si>
    <t xml:space="preserve">SKU-STP-003</t>
  </si>
  <si>
    <t xml:space="preserve">Tata Salt Vacuum Evaporated Iodized 1kg</t>
  </si>
  <si>
    <t xml:space="preserve">SKU-PHM-003</t>
  </si>
  <si>
    <t xml:space="preserve">Electral WHO-Formula ORS Powder 21.8g Sachet</t>
  </si>
  <si>
    <t xml:space="preserve">SKU-PHM-002</t>
  </si>
  <si>
    <t xml:space="preserve">PMBJP Jan Aushadhi Metformin 500mg (10 Tabs)</t>
  </si>
  <si>
    <t xml:space="preserve">SKU-PHM-001</t>
  </si>
  <si>
    <t xml:space="preserve">PMBJP Jan Aushadhi Paracetamol 650mg (10 Tabs)</t>
  </si>
  <si>
    <t xml:space="preserve">SKU-PHM-004</t>
  </si>
  <si>
    <t xml:space="preserve">PMBJP Jan Aushadhi Cetirizine 10mg (10 Tabs)</t>
  </si>
  <si>
    <t xml:space="preserve">Total / Network Portfolio</t>
  </si>
  <si>
    <t xml:space="preserve">CUSTOMER RFM SEGMENTATION &amp; PREDICTIVE LIFETIME VALUE (CLV) MODEL</t>
  </si>
  <si>
    <t xml:space="preserve">Recency (Days to 2026-09-30) | Frequency (Delivered Orders) | Monetary Spend (₹) | Targeted Retention Action</t>
  </si>
  <si>
    <t xml:space="preserve">Cohort Segmentation: Champions (R&gt;=4, F&gt;=4, M&gt;=4), Loyalists (R&gt;=3, F&gt;=3), Potential Loyalists (R&gt;=3, F&lt;3), At Risk (R=2, F&gt;=3), Hibernating (R&lt;=2, F&lt;=2).</t>
  </si>
  <si>
    <t xml:space="preserve">Customer ID</t>
  </si>
  <si>
    <t xml:space="preserve">Customer Name</t>
  </si>
  <si>
    <t xml:space="preserve">City</t>
  </si>
  <si>
    <t xml:space="preserve">Tier</t>
  </si>
  <si>
    <t xml:space="preserve">Customer Type</t>
  </si>
  <si>
    <t xml:space="preserve">Recency (Days)</t>
  </si>
  <si>
    <t xml:space="preserve">Frequency (Orders)</t>
  </si>
  <si>
    <t xml:space="preserve">Monetary Spend (₹)</t>
  </si>
  <si>
    <t xml:space="preserve">RFM Segment</t>
  </si>
  <si>
    <t xml:space="preserve">Prescriptive Action</t>
  </si>
  <si>
    <t xml:space="preserve">CUST-0935</t>
  </si>
  <si>
    <t xml:space="preserve">Krishna Singh</t>
  </si>
  <si>
    <t xml:space="preserve">Patna</t>
  </si>
  <si>
    <t xml:space="preserve">Micro-Enterprise / Kirana Reseller</t>
  </si>
  <si>
    <t xml:space="preserve">Champions</t>
  </si>
  <si>
    <t xml:space="preserve">VIP Fast-Track SLA &amp; Exclusive Pre-Booking</t>
  </si>
  <si>
    <t xml:space="preserve">CUST-0216</t>
  </si>
  <si>
    <t xml:space="preserve">Kavita Deshmukh</t>
  </si>
  <si>
    <t xml:space="preserve">Bengaluru</t>
  </si>
  <si>
    <t xml:space="preserve">CUST-1147</t>
  </si>
  <si>
    <t xml:space="preserve">Reyansh Garg</t>
  </si>
  <si>
    <t xml:space="preserve">Bhopal</t>
  </si>
  <si>
    <t xml:space="preserve">CUST-0714</t>
  </si>
  <si>
    <t xml:space="preserve">Rohan Menon</t>
  </si>
  <si>
    <t xml:space="preserve">Lucknow</t>
  </si>
  <si>
    <t xml:space="preserve">CUST-1035</t>
  </si>
  <si>
    <t xml:space="preserve">Krishna Deshmukh</t>
  </si>
  <si>
    <t xml:space="preserve">New Delhi</t>
  </si>
  <si>
    <t xml:space="preserve">CUST-0830</t>
  </si>
  <si>
    <t xml:space="preserve">Aditya Gupta</t>
  </si>
  <si>
    <t xml:space="preserve">CUST-0485</t>
  </si>
  <si>
    <t xml:space="preserve">Deepak Garg</t>
  </si>
  <si>
    <t xml:space="preserve">Warangal</t>
  </si>
  <si>
    <t xml:space="preserve">CUST-1165</t>
  </si>
  <si>
    <t xml:space="preserve">Vivaan Das</t>
  </si>
  <si>
    <t xml:space="preserve">Jammu</t>
  </si>
  <si>
    <t xml:space="preserve">CUST-0920</t>
  </si>
  <si>
    <t xml:space="preserve">Saanvi Banerjee</t>
  </si>
  <si>
    <t xml:space="preserve">Guwahati</t>
  </si>
  <si>
    <t xml:space="preserve">CUST-0270</t>
  </si>
  <si>
    <t xml:space="preserve">Ishaan Garg</t>
  </si>
  <si>
    <t xml:space="preserve">CUST-0241</t>
  </si>
  <si>
    <t xml:space="preserve">Riya Patil</t>
  </si>
  <si>
    <t xml:space="preserve">Loyal Customers</t>
  </si>
  <si>
    <t xml:space="preserve">Multi-Category Cross-Sell Bundle Perks</t>
  </si>
  <si>
    <t xml:space="preserve">CUST-0692</t>
  </si>
  <si>
    <t xml:space="preserve">Sanjay Deshmukh</t>
  </si>
  <si>
    <t xml:space="preserve">CUST-0745</t>
  </si>
  <si>
    <t xml:space="preserve">Sunil Gupta</t>
  </si>
  <si>
    <t xml:space="preserve">CUST-1076</t>
  </si>
  <si>
    <t xml:space="preserve">Isha Mehta</t>
  </si>
  <si>
    <t xml:space="preserve">CUST-0067</t>
  </si>
  <si>
    <t xml:space="preserve">Manoj Bhatia</t>
  </si>
  <si>
    <t xml:space="preserve">Darbhanga</t>
  </si>
  <si>
    <t xml:space="preserve">CUST-0799</t>
  </si>
  <si>
    <t xml:space="preserve">Rahul Garg</t>
  </si>
  <si>
    <t xml:space="preserve">Kolkata</t>
  </si>
  <si>
    <t xml:space="preserve">CUST-0958</t>
  </si>
  <si>
    <t xml:space="preserve">Pooja Agrawal</t>
  </si>
  <si>
    <t xml:space="preserve">CUST-0333</t>
  </si>
  <si>
    <t xml:space="preserve">Isha Mishra</t>
  </si>
  <si>
    <t xml:space="preserve">At Risk</t>
  </si>
  <si>
    <t xml:space="preserve">Personalized Staple Re-Order Incentive</t>
  </si>
  <si>
    <t xml:space="preserve">CUST-0826</t>
  </si>
  <si>
    <t xml:space="preserve">Riya Menon</t>
  </si>
  <si>
    <t xml:space="preserve">CUST-0264</t>
  </si>
  <si>
    <t xml:space="preserve">Deepak Deshmukh</t>
  </si>
  <si>
    <t xml:space="preserve">CUST-1045</t>
  </si>
  <si>
    <t xml:space="preserve">Anil Kulkarni</t>
  </si>
  <si>
    <t xml:space="preserve">CUST-0838</t>
  </si>
  <si>
    <t xml:space="preserve">Arjun Kulkarni</t>
  </si>
  <si>
    <t xml:space="preserve">Silchar</t>
  </si>
  <si>
    <t xml:space="preserve">CUST-0755</t>
  </si>
  <si>
    <t xml:space="preserve">Geeta Bhatia</t>
  </si>
  <si>
    <t xml:space="preserve">CUST-0084</t>
  </si>
  <si>
    <t xml:space="preserve">Suresh Bhatia</t>
  </si>
  <si>
    <t xml:space="preserve">CUST-0453</t>
  </si>
  <si>
    <t xml:space="preserve">Aarav Chatterjee</t>
  </si>
  <si>
    <t xml:space="preserve">CUST-0012</t>
  </si>
  <si>
    <t xml:space="preserve">Jaipur</t>
  </si>
  <si>
    <t xml:space="preserve">CUST-0384</t>
  </si>
  <si>
    <t xml:space="preserve">Pooja Verma</t>
  </si>
  <si>
    <t xml:space="preserve">CUST-0952</t>
  </si>
  <si>
    <t xml:space="preserve">Deepak Pandey</t>
  </si>
  <si>
    <t xml:space="preserve">CUST-0703</t>
  </si>
  <si>
    <t xml:space="preserve">Manoj Patil</t>
  </si>
  <si>
    <t xml:space="preserve">CUST-1097</t>
  </si>
  <si>
    <t xml:space="preserve">Arjun Sharma</t>
  </si>
  <si>
    <t xml:space="preserve">Mumbai</t>
  </si>
  <si>
    <t xml:space="preserve">CUST-0065</t>
  </si>
  <si>
    <t xml:space="preserve">Rohan Gupta</t>
  </si>
  <si>
    <t xml:space="preserve">Coimbatore</t>
  </si>
  <si>
    <t xml:space="preserve">CUST-1028</t>
  </si>
  <si>
    <t xml:space="preserve">Aadhya Menon</t>
  </si>
  <si>
    <t xml:space="preserve">CUST-0486</t>
  </si>
  <si>
    <t xml:space="preserve">Saanvi Reddy</t>
  </si>
  <si>
    <t xml:space="preserve">CUST-0133</t>
  </si>
  <si>
    <t xml:space="preserve">Neha Kulkarni</t>
  </si>
  <si>
    <t xml:space="preserve">Udupi</t>
  </si>
  <si>
    <t xml:space="preserve">CUST-0051</t>
  </si>
  <si>
    <t xml:space="preserve">Priya Bansal</t>
  </si>
  <si>
    <t xml:space="preserve">CUST-1098</t>
  </si>
  <si>
    <t xml:space="preserve">Deepak Menon</t>
  </si>
  <si>
    <t xml:space="preserve">CUST-0628</t>
  </si>
  <si>
    <t xml:space="preserve">Neha Mehta</t>
  </si>
  <si>
    <t xml:space="preserve">CUST-0438</t>
  </si>
  <si>
    <t xml:space="preserve">Sai Patil</t>
  </si>
  <si>
    <t xml:space="preserve">CUST-0681</t>
  </si>
  <si>
    <t xml:space="preserve">Isha Shah</t>
  </si>
  <si>
    <t xml:space="preserve">CUST-0300</t>
  </si>
  <si>
    <t xml:space="preserve">Ayaan Banerjee</t>
  </si>
  <si>
    <t xml:space="preserve">CUST-0081</t>
  </si>
  <si>
    <t xml:space="preserve">Ananya Choudhury</t>
  </si>
  <si>
    <t xml:space="preserve">CUST-0563</t>
  </si>
  <si>
    <t xml:space="preserve">Neha Kumar</t>
  </si>
  <si>
    <t xml:space="preserve">CUST-0675</t>
  </si>
  <si>
    <t xml:space="preserve">Rajesh Agrawal</t>
  </si>
  <si>
    <t xml:space="preserve">CUST-0946</t>
  </si>
  <si>
    <t xml:space="preserve">Myra Verma</t>
  </si>
  <si>
    <t xml:space="preserve">CUST-0077</t>
  </si>
  <si>
    <t xml:space="preserve">Reyansh Verma</t>
  </si>
  <si>
    <t xml:space="preserve">CUST-0617</t>
  </si>
  <si>
    <t xml:space="preserve">Meena Joshi</t>
  </si>
  <si>
    <t xml:space="preserve">CUST-0966</t>
  </si>
  <si>
    <t xml:space="preserve">Vihaan Shah</t>
  </si>
  <si>
    <t xml:space="preserve">Hibernating / Churned</t>
  </si>
  <si>
    <t xml:space="preserve">Re-Engagement Reactivation Survey &amp; Prune</t>
  </si>
  <si>
    <t xml:space="preserve">CUST-0317</t>
  </si>
  <si>
    <t xml:space="preserve">Ishaan Chatterjee</t>
  </si>
  <si>
    <t xml:space="preserve">CUST-0596</t>
  </si>
  <si>
    <t xml:space="preserve">Manoj Mehta</t>
  </si>
  <si>
    <t xml:space="preserve">CUST-0976</t>
  </si>
  <si>
    <t xml:space="preserve">Kavita Joshi</t>
  </si>
  <si>
    <t xml:space="preserve">CUST-0989</t>
  </si>
  <si>
    <t xml:space="preserve">Ananya Verma</t>
  </si>
  <si>
    <t xml:space="preserve">CUST-0451</t>
  </si>
  <si>
    <t xml:space="preserve">Sneha Nair</t>
  </si>
  <si>
    <t xml:space="preserve">CUST-0362</t>
  </si>
  <si>
    <t xml:space="preserve">CUST-0888</t>
  </si>
  <si>
    <t xml:space="preserve">Arjun Kumar</t>
  </si>
  <si>
    <t xml:space="preserve">Need Attention</t>
  </si>
  <si>
    <t xml:space="preserve">Replenishment Cycle Push Notification</t>
  </si>
  <si>
    <t xml:space="preserve">CUST-0229</t>
  </si>
  <si>
    <t xml:space="preserve">Suresh Pandey</t>
  </si>
  <si>
    <t xml:space="preserve">CUST-1048</t>
  </si>
  <si>
    <t xml:space="preserve">Isha Verma</t>
  </si>
  <si>
    <t xml:space="preserve">CUST-0375</t>
  </si>
  <si>
    <t xml:space="preserve">Suresh Malhotra</t>
  </si>
  <si>
    <t xml:space="preserve">CUST-0349</t>
  </si>
  <si>
    <t xml:space="preserve">Vihaan Garg</t>
  </si>
  <si>
    <t xml:space="preserve">CUST-0335</t>
  </si>
  <si>
    <t xml:space="preserve">Anita Agrawal</t>
  </si>
  <si>
    <t xml:space="preserve">Potential Loyalists</t>
  </si>
  <si>
    <t xml:space="preserve">Second-Purchase UPI Cashback Coupon</t>
  </si>
  <si>
    <t xml:space="preserve">CUST-0853</t>
  </si>
  <si>
    <t xml:space="preserve">Sunil Kulkarni</t>
  </si>
  <si>
    <t xml:space="preserve">Retail Consumer</t>
  </si>
  <si>
    <t xml:space="preserve">CUST-0161</t>
  </si>
  <si>
    <t xml:space="preserve">Amit Chatterjee</t>
  </si>
  <si>
    <t xml:space="preserve">CUST-0035</t>
  </si>
  <si>
    <t xml:space="preserve">Krishna Mishra</t>
  </si>
  <si>
    <t xml:space="preserve">CUST-0137</t>
  </si>
  <si>
    <t xml:space="preserve">Rahul Das</t>
  </si>
  <si>
    <t xml:space="preserve">CUST-0724</t>
  </si>
  <si>
    <t xml:space="preserve">CUST-0534</t>
  </si>
  <si>
    <t xml:space="preserve">CUST-0136</t>
  </si>
  <si>
    <t xml:space="preserve">Reyansh Yadav</t>
  </si>
  <si>
    <t xml:space="preserve">CUST-1113</t>
  </si>
  <si>
    <t xml:space="preserve">Pooja Garg</t>
  </si>
  <si>
    <t xml:space="preserve">CUST-0266</t>
  </si>
  <si>
    <t xml:space="preserve">Myra Deshmukh</t>
  </si>
  <si>
    <t xml:space="preserve">CUST-0413</t>
  </si>
  <si>
    <t xml:space="preserve">Sunita Banerjee</t>
  </si>
  <si>
    <t xml:space="preserve">CUST-0452</t>
  </si>
  <si>
    <t xml:space="preserve">Navya Mehta</t>
  </si>
  <si>
    <t xml:space="preserve">CUST-0769</t>
  </si>
  <si>
    <t xml:space="preserve">Anil Reddy</t>
  </si>
  <si>
    <t xml:space="preserve">CUST-0199</t>
  </si>
  <si>
    <t xml:space="preserve">Pooja Patel</t>
  </si>
  <si>
    <t xml:space="preserve">CUST-0407</t>
  </si>
  <si>
    <t xml:space="preserve">Krishna Shah</t>
  </si>
  <si>
    <t xml:space="preserve">CUST-0160</t>
  </si>
  <si>
    <t xml:space="preserve">Anil Nair</t>
  </si>
  <si>
    <t xml:space="preserve">CUST-1138</t>
  </si>
  <si>
    <t xml:space="preserve">Sunita Menon</t>
  </si>
  <si>
    <t xml:space="preserve">CUST-0128</t>
  </si>
  <si>
    <t xml:space="preserve">Rajesh Patel</t>
  </si>
  <si>
    <t xml:space="preserve">CUST-1151</t>
  </si>
  <si>
    <t xml:space="preserve">Rohan Banerjee</t>
  </si>
  <si>
    <t xml:space="preserve">CUST-0568</t>
  </si>
  <si>
    <t xml:space="preserve">Amit Reddy</t>
  </si>
  <si>
    <t xml:space="preserve">CUST-0484</t>
  </si>
  <si>
    <t xml:space="preserve">Kavita Singh</t>
  </si>
  <si>
    <t xml:space="preserve">CUST-1020</t>
  </si>
  <si>
    <t xml:space="preserve">Diya Pillai</t>
  </si>
  <si>
    <t xml:space="preserve">CUST-0460</t>
  </si>
  <si>
    <t xml:space="preserve">Myra Malhotra</t>
  </si>
  <si>
    <t xml:space="preserve">CUST-0956</t>
  </si>
  <si>
    <t xml:space="preserve">Deepak Agrawal</t>
  </si>
  <si>
    <t xml:space="preserve">CUST-0275</t>
  </si>
  <si>
    <t xml:space="preserve">Meena Pandey</t>
  </si>
  <si>
    <t xml:space="preserve">CUST-1157</t>
  </si>
  <si>
    <t xml:space="preserve">Manoj Choudhury</t>
  </si>
  <si>
    <t xml:space="preserve">CUST-1104</t>
  </si>
  <si>
    <t xml:space="preserve">Diya Shah</t>
  </si>
  <si>
    <t xml:space="preserve">CUST-1164</t>
  </si>
  <si>
    <t xml:space="preserve">Rohan Yadav</t>
  </si>
  <si>
    <t xml:space="preserve">CUST-0941</t>
  </si>
  <si>
    <t xml:space="preserve">Amit Pandey</t>
  </si>
  <si>
    <t xml:space="preserve">CUST-0905</t>
  </si>
  <si>
    <t xml:space="preserve">Meena Bhatia</t>
  </si>
  <si>
    <t xml:space="preserve">CUST-1133</t>
  </si>
  <si>
    <t xml:space="preserve">Vihaan Sharma</t>
  </si>
  <si>
    <t xml:space="preserve">CUST-0852</t>
  </si>
  <si>
    <t xml:space="preserve">Amit Das</t>
  </si>
  <si>
    <t xml:space="preserve">CUST-0863</t>
  </si>
  <si>
    <t xml:space="preserve">Sai Rao</t>
  </si>
  <si>
    <t xml:space="preserve">CUST-0986</t>
  </si>
  <si>
    <t xml:space="preserve">Sneha Iyer</t>
  </si>
  <si>
    <t xml:space="preserve">CUST-0100</t>
  </si>
  <si>
    <t xml:space="preserve">Meena Shah</t>
  </si>
  <si>
    <t xml:space="preserve">CUST-0670</t>
  </si>
  <si>
    <t xml:space="preserve">Ishaan Kumar</t>
  </si>
  <si>
    <t xml:space="preserve">CUST-0613</t>
  </si>
  <si>
    <t xml:space="preserve">Pari Rao</t>
  </si>
  <si>
    <t xml:space="preserve">CUST-0331</t>
  </si>
  <si>
    <t xml:space="preserve">Rahul Menon</t>
  </si>
  <si>
    <t xml:space="preserve">CUST-1145</t>
  </si>
  <si>
    <t xml:space="preserve">Aditya Iyer</t>
  </si>
  <si>
    <t xml:space="preserve">CUST-0211</t>
  </si>
  <si>
    <t xml:space="preserve">Rekha Menon</t>
  </si>
  <si>
    <t xml:space="preserve">CUST-0037</t>
  </si>
  <si>
    <t xml:space="preserve">Ananya Menon</t>
  </si>
  <si>
    <t xml:space="preserve">CUST-0575</t>
  </si>
  <si>
    <t xml:space="preserve">Ananya Deshmukh</t>
  </si>
  <si>
    <t xml:space="preserve">CUST-0614</t>
  </si>
  <si>
    <t xml:space="preserve">Sai Shah</t>
  </si>
  <si>
    <t xml:space="preserve">CUST-0858</t>
  </si>
  <si>
    <t xml:space="preserve">Priya Malhotra</t>
  </si>
  <si>
    <t xml:space="preserve">CUST-0297</t>
  </si>
  <si>
    <t xml:space="preserve">CUST-0345</t>
  </si>
  <si>
    <t xml:space="preserve">Reyansh Patel</t>
  </si>
  <si>
    <t xml:space="preserve">CUST-0694</t>
  </si>
  <si>
    <t xml:space="preserve">Isha Patel</t>
  </si>
  <si>
    <t xml:space="preserve">CUST-0092</t>
  </si>
  <si>
    <t xml:space="preserve">Isha Singh</t>
  </si>
  <si>
    <t xml:space="preserve">CUST-0895</t>
  </si>
  <si>
    <t xml:space="preserve">Manoj Yadav</t>
  </si>
  <si>
    <t xml:space="preserve">CUST-0508</t>
  </si>
  <si>
    <t xml:space="preserve">Pari Bhatia</t>
  </si>
  <si>
    <t xml:space="preserve">CUST-0179</t>
  </si>
  <si>
    <t xml:space="preserve">Rohan Pandey</t>
  </si>
  <si>
    <t xml:space="preserve">CUST-0640</t>
  </si>
  <si>
    <t xml:space="preserve">Meena Banerjee</t>
  </si>
  <si>
    <t xml:space="preserve">CUST-0567</t>
  </si>
  <si>
    <t xml:space="preserve">Sunita Bansal</t>
  </si>
  <si>
    <t xml:space="preserve">Healthcare Clinic / Dispensary</t>
  </si>
  <si>
    <t xml:space="preserve">CUST-0939</t>
  </si>
  <si>
    <t xml:space="preserve">Deepak Yadav</t>
  </si>
  <si>
    <t xml:space="preserve">CUST-0766</t>
  </si>
  <si>
    <t xml:space="preserve">Neha Banerjee</t>
  </si>
  <si>
    <t xml:space="preserve">CUST-0108</t>
  </si>
  <si>
    <t xml:space="preserve">Rekha Nair</t>
  </si>
  <si>
    <t xml:space="preserve">CUST-0820</t>
  </si>
  <si>
    <t xml:space="preserve">Geeta Patil</t>
  </si>
  <si>
    <t xml:space="preserve">CUST-0828</t>
  </si>
  <si>
    <t xml:space="preserve">Isha Deshmukh</t>
  </si>
  <si>
    <t xml:space="preserve">CUST-0556</t>
  </si>
  <si>
    <t xml:space="preserve">Krishna Verma</t>
  </si>
  <si>
    <t xml:space="preserve">CUST-0545</t>
  </si>
  <si>
    <t xml:space="preserve">Meena Singh</t>
  </si>
  <si>
    <t xml:space="preserve">CUST-0738</t>
  </si>
  <si>
    <t xml:space="preserve">Deepak Malhotra</t>
  </si>
  <si>
    <t xml:space="preserve">CUST-0653</t>
  </si>
  <si>
    <t xml:space="preserve">Krishna Malhotra</t>
  </si>
  <si>
    <t xml:space="preserve">CUST-0010</t>
  </si>
  <si>
    <t xml:space="preserve">Riya Bhatia</t>
  </si>
  <si>
    <t xml:space="preserve">CUST-0295</t>
  </si>
  <si>
    <t xml:space="preserve">Myra Banerjee</t>
  </si>
  <si>
    <t xml:space="preserve">CUST-0749</t>
  </si>
  <si>
    <t xml:space="preserve">CUST-1162</t>
  </si>
  <si>
    <t xml:space="preserve">Ananya Bansal</t>
  </si>
  <si>
    <t xml:space="preserve">CUST-0587</t>
  </si>
  <si>
    <t xml:space="preserve">Neha Reddy</t>
  </si>
  <si>
    <t xml:space="preserve">CUST-0315</t>
  </si>
  <si>
    <t xml:space="preserve">Vikram Verma</t>
  </si>
  <si>
    <t xml:space="preserve">CUST-1003</t>
  </si>
  <si>
    <t xml:space="preserve">CUST-0829</t>
  </si>
  <si>
    <t xml:space="preserve">Sai Joshi</t>
  </si>
  <si>
    <t xml:space="preserve">CUST-0411</t>
  </si>
  <si>
    <t xml:space="preserve">Reyansh Menon</t>
  </si>
  <si>
    <t xml:space="preserve">CUST-0584</t>
  </si>
  <si>
    <t xml:space="preserve">Rekha Bhatia</t>
  </si>
  <si>
    <t xml:space="preserve">CUST-0655</t>
  </si>
  <si>
    <t xml:space="preserve">Saanvi Yadav</t>
  </si>
  <si>
    <t xml:space="preserve">CUST-0182</t>
  </si>
  <si>
    <t xml:space="preserve">Vivaan Agrawal</t>
  </si>
  <si>
    <t xml:space="preserve">CUST-0569</t>
  </si>
  <si>
    <t xml:space="preserve">Suresh Rao</t>
  </si>
  <si>
    <t xml:space="preserve">CUST-0267</t>
  </si>
  <si>
    <t xml:space="preserve">CUST-0285</t>
  </si>
  <si>
    <t xml:space="preserve">Reyansh Agrawal</t>
  </si>
  <si>
    <t xml:space="preserve">CUST-1093</t>
  </si>
  <si>
    <t xml:space="preserve">Ayaan Sharma</t>
  </si>
  <si>
    <t xml:space="preserve">CUST-0469</t>
  </si>
  <si>
    <t xml:space="preserve">Pooja Patil</t>
  </si>
  <si>
    <t xml:space="preserve">CUST-1022</t>
  </si>
  <si>
    <t xml:space="preserve">Navya Nair</t>
  </si>
  <si>
    <t xml:space="preserve">CUST-0151</t>
  </si>
  <si>
    <t xml:space="preserve">Rekha Joshi</t>
  </si>
  <si>
    <t xml:space="preserve">CUST-0359</t>
  </si>
  <si>
    <t xml:space="preserve">Meena Garg</t>
  </si>
  <si>
    <t xml:space="preserve">CUST-1182</t>
  </si>
  <si>
    <t xml:space="preserve">Navya Banerjee</t>
  </si>
  <si>
    <t xml:space="preserve">CUST-0693</t>
  </si>
  <si>
    <t xml:space="preserve">CUST-0193</t>
  </si>
  <si>
    <t xml:space="preserve">Krishna Agrawal</t>
  </si>
  <si>
    <t xml:space="preserve">CUST-0174</t>
  </si>
  <si>
    <t xml:space="preserve">Deepak Gupta</t>
  </si>
  <si>
    <t xml:space="preserve">CUST-0447</t>
  </si>
  <si>
    <t xml:space="preserve">Pooja Das</t>
  </si>
  <si>
    <t xml:space="preserve">CUST-0118</t>
  </si>
  <si>
    <t xml:space="preserve">CUST-0979</t>
  </si>
  <si>
    <t xml:space="preserve">Suresh Shah</t>
  </si>
  <si>
    <t xml:space="preserve">CUST-0368</t>
  </si>
  <si>
    <t xml:space="preserve">Navya Singh</t>
  </si>
  <si>
    <t xml:space="preserve">CUST-0837</t>
  </si>
  <si>
    <t xml:space="preserve">Anil Chatterjee</t>
  </si>
  <si>
    <t xml:space="preserve">CUST-0113</t>
  </si>
  <si>
    <t xml:space="preserve">Navya Iyer</t>
  </si>
  <si>
    <t xml:space="preserve">CUST-0343</t>
  </si>
  <si>
    <t xml:space="preserve">CUST-0721</t>
  </si>
  <si>
    <t xml:space="preserve">Riya Reddy</t>
  </si>
  <si>
    <t xml:space="preserve">CUST-0512</t>
  </si>
  <si>
    <t xml:space="preserve">Krishna Yadav</t>
  </si>
  <si>
    <t xml:space="preserve">CUST-0926</t>
  </si>
  <si>
    <t xml:space="preserve">Suresh Mishra</t>
  </si>
  <si>
    <t xml:space="preserve">CUST-0571</t>
  </si>
  <si>
    <t xml:space="preserve">Sai Das</t>
  </si>
  <si>
    <t xml:space="preserve">CUST-0990</t>
  </si>
  <si>
    <t xml:space="preserve">Sneha Patil</t>
  </si>
  <si>
    <t xml:space="preserve">CUST-0911</t>
  </si>
  <si>
    <t xml:space="preserve">Deepak Reddy</t>
  </si>
  <si>
    <t xml:space="preserve">CUST-1083</t>
  </si>
  <si>
    <t xml:space="preserve">Deepak Mehta</t>
  </si>
  <si>
    <t xml:space="preserve">CUST-0817</t>
  </si>
  <si>
    <t xml:space="preserve">Anita Garg</t>
  </si>
  <si>
    <t xml:space="preserve">CUST-1064</t>
  </si>
  <si>
    <t xml:space="preserve">Ishaan Sharma</t>
  </si>
  <si>
    <t xml:space="preserve">CUST-0417</t>
  </si>
  <si>
    <t xml:space="preserve">Navya Rao</t>
  </si>
  <si>
    <t xml:space="preserve">CUST-0188</t>
  </si>
  <si>
    <t xml:space="preserve">Vivaan Choudhury</t>
  </si>
  <si>
    <t xml:space="preserve">CUST-1139</t>
  </si>
  <si>
    <t xml:space="preserve">Rahul Iyer</t>
  </si>
  <si>
    <t xml:space="preserve">CUST-0962</t>
  </si>
  <si>
    <t xml:space="preserve">Rekha Pandey</t>
  </si>
  <si>
    <t xml:space="preserve">CUST-0473</t>
  </si>
  <si>
    <t xml:space="preserve">Arjun Iyer</t>
  </si>
  <si>
    <t xml:space="preserve">CUST-0782</t>
  </si>
  <si>
    <t xml:space="preserve">Krishna Choudhury</t>
  </si>
  <si>
    <t xml:space="preserve">CUST-0959</t>
  </si>
  <si>
    <t xml:space="preserve">Sunita Iyer</t>
  </si>
  <si>
    <t xml:space="preserve">CUST-0086</t>
  </si>
  <si>
    <t xml:space="preserve">Vihaan Patil</t>
  </si>
  <si>
    <t xml:space="preserve">CUST-0433</t>
  </si>
  <si>
    <t xml:space="preserve">Riya Sharma</t>
  </si>
  <si>
    <t xml:space="preserve">CUST-0390</t>
  </si>
  <si>
    <t xml:space="preserve">Aadhya Singh</t>
  </si>
  <si>
    <t xml:space="preserve">CUST-1185</t>
  </si>
  <si>
    <t xml:space="preserve">Reyansh Gupta</t>
  </si>
  <si>
    <t xml:space="preserve">CUST-0780</t>
  </si>
  <si>
    <t xml:space="preserve">Kavita Garg</t>
  </si>
  <si>
    <t xml:space="preserve">CUST-0859</t>
  </si>
  <si>
    <t xml:space="preserve">Sneha Banerjee</t>
  </si>
  <si>
    <t xml:space="preserve">CUST-0503</t>
  </si>
  <si>
    <t xml:space="preserve">Rohan Kumar</t>
  </si>
  <si>
    <t xml:space="preserve">CUST-0175</t>
  </si>
  <si>
    <t xml:space="preserve">CUST-0964</t>
  </si>
  <si>
    <t xml:space="preserve">Meena Bansal</t>
  </si>
  <si>
    <t xml:space="preserve">CUST-0272</t>
  </si>
  <si>
    <t xml:space="preserve">Rekha Patil</t>
  </si>
  <si>
    <t xml:space="preserve">CUST-1101</t>
  </si>
  <si>
    <t xml:space="preserve">Sunita Kumar</t>
  </si>
  <si>
    <t xml:space="preserve">CUST-1154</t>
  </si>
  <si>
    <t xml:space="preserve">Aarav Verma</t>
  </si>
  <si>
    <t xml:space="preserve">CUST-1109</t>
  </si>
  <si>
    <t xml:space="preserve">Amit Bhatia</t>
  </si>
  <si>
    <t xml:space="preserve">CUST-0805</t>
  </si>
  <si>
    <t xml:space="preserve">Amit Singh</t>
  </si>
  <si>
    <t xml:space="preserve">CUST-0844</t>
  </si>
  <si>
    <t xml:space="preserve">Amit Kulkarni</t>
  </si>
  <si>
    <t xml:space="preserve">CUST-0235</t>
  </si>
  <si>
    <t xml:space="preserve">CUST-0822</t>
  </si>
  <si>
    <t xml:space="preserve">CUST-0103</t>
  </si>
  <si>
    <t xml:space="preserve">Sneha Yadav</t>
  </si>
  <si>
    <t xml:space="preserve">CUST-1095</t>
  </si>
  <si>
    <t xml:space="preserve">Priya Kulkarni</t>
  </si>
  <si>
    <t xml:space="preserve">CUST-0821</t>
  </si>
  <si>
    <t xml:space="preserve">Myra Sharma</t>
  </si>
  <si>
    <t xml:space="preserve">CUST-1168</t>
  </si>
  <si>
    <t xml:space="preserve">Saanvi Das</t>
  </si>
  <si>
    <t xml:space="preserve">CUST-0907</t>
  </si>
  <si>
    <t xml:space="preserve">Sai Malhotra</t>
  </si>
  <si>
    <t xml:space="preserve">CUST-0458</t>
  </si>
  <si>
    <t xml:space="preserve">Rahul Singh</t>
  </si>
  <si>
    <t xml:space="preserve">CUST-0441</t>
  </si>
  <si>
    <t xml:space="preserve">Anil Yadav</t>
  </si>
  <si>
    <t xml:space="preserve">CUST-1080</t>
  </si>
  <si>
    <t xml:space="preserve">Reyansh Bhatia</t>
  </si>
  <si>
    <t xml:space="preserve">CUST-0742</t>
  </si>
  <si>
    <t xml:space="preserve">Anil Verma</t>
  </si>
  <si>
    <t xml:space="preserve">CUST-0302</t>
  </si>
  <si>
    <t xml:space="preserve">Meena Deshmukh</t>
  </si>
  <si>
    <t xml:space="preserve">CUST-0573</t>
  </si>
  <si>
    <t xml:space="preserve">Sai Reddy</t>
  </si>
  <si>
    <t xml:space="preserve">CUST-1036</t>
  </si>
  <si>
    <t xml:space="preserve">CUST-0401</t>
  </si>
  <si>
    <t xml:space="preserve">Meena Patel</t>
  </si>
  <si>
    <t xml:space="preserve">CUST-1054</t>
  </si>
  <si>
    <t xml:space="preserve">CUST-0550</t>
  </si>
  <si>
    <t xml:space="preserve">Manoj Mishra</t>
  </si>
  <si>
    <t xml:space="preserve">CUST-0602</t>
  </si>
  <si>
    <t xml:space="preserve">Kavita Menon</t>
  </si>
  <si>
    <t xml:space="preserve">CUST-0777</t>
  </si>
  <si>
    <t xml:space="preserve">Amit Iyer</t>
  </si>
  <si>
    <t xml:space="preserve">CUST-0244</t>
  </si>
  <si>
    <t xml:space="preserve">Sneha Sharma</t>
  </si>
  <si>
    <t xml:space="preserve">CUST-0102</t>
  </si>
  <si>
    <t xml:space="preserve">Myra Iyer</t>
  </si>
  <si>
    <t xml:space="preserve">CUST-1134</t>
  </si>
  <si>
    <t xml:space="preserve">Ishaan Pillai</t>
  </si>
  <si>
    <t xml:space="preserve">CUST-0070</t>
  </si>
  <si>
    <t xml:space="preserve">Sunita Rao</t>
  </si>
  <si>
    <t xml:space="preserve">CUST-0058</t>
  </si>
  <si>
    <t xml:space="preserve">Saanvi Deshmukh</t>
  </si>
  <si>
    <t xml:space="preserve">CUST-1032</t>
  </si>
  <si>
    <t xml:space="preserve">Sunita Malhotra</t>
  </si>
  <si>
    <t xml:space="preserve">CUST-1081</t>
  </si>
  <si>
    <t xml:space="preserve">Deepak Banerjee</t>
  </si>
  <si>
    <t xml:space="preserve">CUST-0304</t>
  </si>
  <si>
    <t xml:space="preserve">Sanjay Bhatia</t>
  </si>
  <si>
    <t xml:space="preserve">CUST-0600</t>
  </si>
  <si>
    <t xml:space="preserve">Isha Menon</t>
  </si>
  <si>
    <t xml:space="preserve">CUST-0097</t>
  </si>
  <si>
    <t xml:space="preserve">CUST-0590</t>
  </si>
  <si>
    <t xml:space="preserve">Ayaan Shah</t>
  </si>
  <si>
    <t xml:space="preserve">CUST-0701</t>
  </si>
  <si>
    <t xml:space="preserve">Rahul Mehta</t>
  </si>
  <si>
    <t xml:space="preserve">CUST-0068</t>
  </si>
  <si>
    <t xml:space="preserve">CUST-1177</t>
  </si>
  <si>
    <t xml:space="preserve">Sneha Menon</t>
  </si>
  <si>
    <t xml:space="preserve">CUST-1050</t>
  </si>
  <si>
    <t xml:space="preserve">Aditya Pandey</t>
  </si>
  <si>
    <t xml:space="preserve">CUST-0050</t>
  </si>
  <si>
    <t xml:space="preserve">Rahul Chatterjee</t>
  </si>
  <si>
    <t xml:space="preserve">CUST-0143</t>
  </si>
  <si>
    <t xml:space="preserve">Ayaan Patil</t>
  </si>
  <si>
    <t xml:space="preserve">CUST-0074</t>
  </si>
  <si>
    <t xml:space="preserve">Manoj Banerjee</t>
  </si>
  <si>
    <t xml:space="preserve">CUST-0786</t>
  </si>
  <si>
    <t xml:space="preserve">CUST-1149</t>
  </si>
  <si>
    <t xml:space="preserve">Pooja Reddy</t>
  </si>
  <si>
    <t xml:space="preserve">CUST-0098</t>
  </si>
  <si>
    <t xml:space="preserve">Aarav Banerjee</t>
  </si>
  <si>
    <t xml:space="preserve">CUST-0042</t>
  </si>
  <si>
    <t xml:space="preserve">Riya Pillai</t>
  </si>
  <si>
    <t xml:space="preserve">CUST-0741</t>
  </si>
  <si>
    <t xml:space="preserve">CUST-0140</t>
  </si>
  <si>
    <t xml:space="preserve">Sunita Sharma</t>
  </si>
  <si>
    <t xml:space="preserve">CUST-0815</t>
  </si>
  <si>
    <t xml:space="preserve">Aadhya Mishra</t>
  </si>
  <si>
    <t xml:space="preserve">CUST-1176</t>
  </si>
  <si>
    <t xml:space="preserve">Myra Gupta</t>
  </si>
  <si>
    <t xml:space="preserve">CUST-0619</t>
  </si>
  <si>
    <t xml:space="preserve">Anita Patil</t>
  </si>
  <si>
    <t xml:space="preserve">CUST-0650</t>
  </si>
  <si>
    <t xml:space="preserve">CUST-0468</t>
  </si>
  <si>
    <t xml:space="preserve">Geeta Mishra</t>
  </si>
  <si>
    <t xml:space="preserve">CUST-0618</t>
  </si>
  <si>
    <t xml:space="preserve">Sunil Bhatia</t>
  </si>
  <si>
    <t xml:space="preserve">CUST-1110</t>
  </si>
  <si>
    <t xml:space="preserve">Geeta Patel</t>
  </si>
  <si>
    <t xml:space="preserve">CUST-0134</t>
  </si>
  <si>
    <t xml:space="preserve">Rohan Sharma</t>
  </si>
  <si>
    <t xml:space="preserve">CUST-1061</t>
  </si>
  <si>
    <t xml:space="preserve">Isha Banerjee</t>
  </si>
  <si>
    <t xml:space="preserve">CUST-0095</t>
  </si>
  <si>
    <t xml:space="preserve">CUST-0641</t>
  </si>
  <si>
    <t xml:space="preserve">Suresh Sharma</t>
  </si>
  <si>
    <t xml:space="preserve">CUST-0322</t>
  </si>
  <si>
    <t xml:space="preserve">CUST-0914</t>
  </si>
  <si>
    <t xml:space="preserve">Reyansh Kulkarni</t>
  </si>
  <si>
    <t xml:space="preserve">CUST-0903</t>
  </si>
  <si>
    <t xml:space="preserve">Pari Banerjee</t>
  </si>
  <si>
    <t xml:space="preserve">CUST-0696</t>
  </si>
  <si>
    <t xml:space="preserve">Vihaan Malhotra</t>
  </si>
  <si>
    <t xml:space="preserve">CUST-0017</t>
  </si>
  <si>
    <t xml:space="preserve">CUST-0303</t>
  </si>
  <si>
    <t xml:space="preserve">Rajesh Chatterjee</t>
  </si>
  <si>
    <t xml:space="preserve">CUST-1043</t>
  </si>
  <si>
    <t xml:space="preserve">Suresh Agrawal</t>
  </si>
  <si>
    <t xml:space="preserve">CUST-1141</t>
  </si>
  <si>
    <t xml:space="preserve">Sunil Kumar</t>
  </si>
  <si>
    <t xml:space="preserve">CUST-1096</t>
  </si>
  <si>
    <t xml:space="preserve">Sai Singh</t>
  </si>
  <si>
    <t xml:space="preserve">CUST-1102</t>
  </si>
  <si>
    <t xml:space="preserve">CUST-0089</t>
  </si>
  <si>
    <t xml:space="preserve">Sai Agrawal</t>
  </si>
  <si>
    <t xml:space="preserve">CUST-0152</t>
  </si>
  <si>
    <t xml:space="preserve">CUST-0047</t>
  </si>
  <si>
    <t xml:space="preserve">Meena Yadav</t>
  </si>
  <si>
    <t xml:space="preserve">CUST-0561</t>
  </si>
  <si>
    <t xml:space="preserve">Aditya Menon</t>
  </si>
  <si>
    <t xml:space="preserve">CUST-0501</t>
  </si>
  <si>
    <t xml:space="preserve">Neha Bhatia</t>
  </si>
  <si>
    <t xml:space="preserve">CUST-0265</t>
  </si>
  <si>
    <t xml:space="preserve">CUST-0391</t>
  </si>
  <si>
    <t xml:space="preserve">Rohan Pillai</t>
  </si>
  <si>
    <t xml:space="preserve">CUST-0698</t>
  </si>
  <si>
    <t xml:space="preserve">Aarav Pandey</t>
  </si>
  <si>
    <t xml:space="preserve">CUST-0278</t>
  </si>
  <si>
    <t xml:space="preserve">Sai Patel</t>
  </si>
  <si>
    <t xml:space="preserve">CUST-0243</t>
  </si>
  <si>
    <t xml:space="preserve">Myra Patel</t>
  </si>
  <si>
    <t xml:space="preserve">CUST-0286</t>
  </si>
  <si>
    <t xml:space="preserve">Vikram Deshmukh</t>
  </si>
  <si>
    <t xml:space="preserve">CUST-0736</t>
  </si>
  <si>
    <t xml:space="preserve">Meena Nair</t>
  </si>
  <si>
    <t xml:space="preserve">CUST-0801</t>
  </si>
  <si>
    <t xml:space="preserve">Pari Patil</t>
  </si>
  <si>
    <t xml:space="preserve">CUST-0803</t>
  </si>
  <si>
    <t xml:space="preserve">Sunil Patil</t>
  </si>
  <si>
    <t xml:space="preserve">CUST-0326</t>
  </si>
  <si>
    <t xml:space="preserve">Anita Gupta</t>
  </si>
  <si>
    <t xml:space="preserve">CUST-0223</t>
  </si>
  <si>
    <t xml:space="preserve">Anita Kulkarni</t>
  </si>
  <si>
    <t xml:space="preserve">CUST-1042</t>
  </si>
  <si>
    <t xml:space="preserve">Kavita Mishra</t>
  </si>
  <si>
    <t xml:space="preserve">CUST-0025</t>
  </si>
  <si>
    <t xml:space="preserve">Kavita Choudhury</t>
  </si>
  <si>
    <t xml:space="preserve">CUST-0746</t>
  </si>
  <si>
    <t xml:space="preserve">Pooja Deshmukh</t>
  </si>
  <si>
    <t xml:space="preserve">CUST-0661</t>
  </si>
  <si>
    <t xml:space="preserve">Sneha Singh</t>
  </si>
  <si>
    <t xml:space="preserve">CUST-0621</t>
  </si>
  <si>
    <t xml:space="preserve">Aditya Kumar</t>
  </si>
  <si>
    <t xml:space="preserve">CUST-0960</t>
  </si>
  <si>
    <t xml:space="preserve">Aadhya Kumar</t>
  </si>
  <si>
    <t xml:space="preserve">CUST-0877</t>
  </si>
  <si>
    <t xml:space="preserve">CUST-0409</t>
  </si>
  <si>
    <t xml:space="preserve">Amit Yadav</t>
  </si>
  <si>
    <t xml:space="preserve">CUST-0492</t>
  </si>
  <si>
    <t xml:space="preserve">Ananya Rao</t>
  </si>
  <si>
    <t xml:space="preserve">CUST-0254</t>
  </si>
  <si>
    <t xml:space="preserve">Sneha Gupta</t>
  </si>
  <si>
    <t xml:space="preserve">CUST-0173</t>
  </si>
  <si>
    <t xml:space="preserve">Suresh Joshi</t>
  </si>
  <si>
    <t xml:space="preserve">CUST-0867</t>
  </si>
  <si>
    <t xml:space="preserve">CUST-0398</t>
  </si>
  <si>
    <t xml:space="preserve">Geeta Malhotra</t>
  </si>
  <si>
    <t xml:space="preserve">CUST-0929</t>
  </si>
  <si>
    <t xml:space="preserve">Kavita Yadav</t>
  </si>
  <si>
    <t xml:space="preserve">CUST-0529</t>
  </si>
  <si>
    <t xml:space="preserve">Pari Kumar</t>
  </si>
  <si>
    <t xml:space="preserve">CUST-0153</t>
  </si>
  <si>
    <t xml:space="preserve">Meena Chatterjee</t>
  </si>
  <si>
    <t xml:space="preserve">CUST-0921</t>
  </si>
  <si>
    <t xml:space="preserve">Amit Sharma</t>
  </si>
  <si>
    <t xml:space="preserve">CUST-0268</t>
  </si>
  <si>
    <t xml:space="preserve">CUST-0046</t>
  </si>
  <si>
    <t xml:space="preserve">CUST-0542</t>
  </si>
  <si>
    <t xml:space="preserve">Isha Das</t>
  </si>
  <si>
    <t xml:space="preserve">CUST-0148</t>
  </si>
  <si>
    <t xml:space="preserve">Anita Singh</t>
  </si>
  <si>
    <t xml:space="preserve">CUST-0166</t>
  </si>
  <si>
    <t xml:space="preserve">CUST-0983</t>
  </si>
  <si>
    <t xml:space="preserve">Kavita Sharma</t>
  </si>
  <si>
    <t xml:space="preserve">CUST-0036</t>
  </si>
  <si>
    <t xml:space="preserve">Vihaan Agrawal</t>
  </si>
  <si>
    <t xml:space="preserve">CUST-0168</t>
  </si>
  <si>
    <t xml:space="preserve">CUST-1039</t>
  </si>
  <si>
    <t xml:space="preserve">Vivaan Reddy</t>
  </si>
  <si>
    <t xml:space="preserve">CUST-0834</t>
  </si>
  <si>
    <t xml:space="preserve">Rohan Singh</t>
  </si>
  <si>
    <t xml:space="preserve">CUST-0405</t>
  </si>
  <si>
    <t xml:space="preserve">CUST-1161</t>
  </si>
  <si>
    <t xml:space="preserve">Navya Malhotra</t>
  </si>
  <si>
    <t xml:space="preserve">CUST-0163</t>
  </si>
  <si>
    <t xml:space="preserve">Reyansh Pillai</t>
  </si>
  <si>
    <t xml:space="preserve">CUST-1171</t>
  </si>
  <si>
    <t xml:space="preserve">Neha Singh</t>
  </si>
  <si>
    <t xml:space="preserve">CUST-0429</t>
  </si>
  <si>
    <t xml:space="preserve">Anil Patel</t>
  </si>
  <si>
    <t xml:space="preserve">CUST-0115</t>
  </si>
  <si>
    <t xml:space="preserve">Aarav Malhotra</t>
  </si>
  <si>
    <t xml:space="preserve">CUST-0361</t>
  </si>
  <si>
    <t xml:space="preserve">Myra Patil</t>
  </si>
  <si>
    <t xml:space="preserve">CUST-0999</t>
  </si>
  <si>
    <t xml:space="preserve">Sneha Bhatia</t>
  </si>
  <si>
    <t xml:space="preserve">CUST-0768</t>
  </si>
  <si>
    <t xml:space="preserve">CUST-0554</t>
  </si>
  <si>
    <t xml:space="preserve">Arjun Rao</t>
  </si>
  <si>
    <t xml:space="preserve">CUST-0527</t>
  </si>
  <si>
    <t xml:space="preserve">Riya Banerjee</t>
  </si>
  <si>
    <t xml:space="preserve">CUST-0418</t>
  </si>
  <si>
    <t xml:space="preserve">Rajesh Gupta</t>
  </si>
  <si>
    <t xml:space="preserve">CUST-1041</t>
  </si>
  <si>
    <t xml:space="preserve">Anil Joshi</t>
  </si>
  <si>
    <t xml:space="preserve">CUST-0022</t>
  </si>
  <si>
    <t xml:space="preserve">Aadhya Kulkarni</t>
  </si>
  <si>
    <t xml:space="preserve">CUST-0997</t>
  </si>
  <si>
    <t xml:space="preserve">Arjun Patel</t>
  </si>
  <si>
    <t xml:space="preserve">CUST-0430</t>
  </si>
  <si>
    <t xml:space="preserve">Sanjay Pillai</t>
  </si>
  <si>
    <t xml:space="preserve">CUST-0814</t>
  </si>
  <si>
    <t xml:space="preserve">Arjun Deshmukh</t>
  </si>
  <si>
    <t xml:space="preserve">CUST-0423</t>
  </si>
  <si>
    <t xml:space="preserve">Sunita Agrawal</t>
  </si>
  <si>
    <t xml:space="preserve">CUST-0399</t>
  </si>
  <si>
    <t xml:space="preserve">Rajesh Banerjee</t>
  </si>
  <si>
    <t xml:space="preserve">CUST-0631</t>
  </si>
  <si>
    <t xml:space="preserve">CUST-0652</t>
  </si>
  <si>
    <t xml:space="preserve">CUST-0739</t>
  </si>
  <si>
    <t xml:space="preserve">Sunil Chatterjee</t>
  </si>
  <si>
    <t xml:space="preserve">CUST-0144</t>
  </si>
  <si>
    <t xml:space="preserve">Meena Mehta</t>
  </si>
  <si>
    <t xml:space="preserve">CUST-0531</t>
  </si>
  <si>
    <t xml:space="preserve">Meena Rao</t>
  </si>
  <si>
    <t xml:space="preserve">CUST-0162</t>
  </si>
  <si>
    <t xml:space="preserve">Ishaan Joshi</t>
  </si>
  <si>
    <t xml:space="preserve">CUST-0215</t>
  </si>
  <si>
    <t xml:space="preserve">CUST-0493</t>
  </si>
  <si>
    <t xml:space="preserve">CUST-0435</t>
  </si>
  <si>
    <t xml:space="preserve">Aarav Iyer</t>
  </si>
  <si>
    <t xml:space="preserve">CUST-1021</t>
  </si>
  <si>
    <t xml:space="preserve">Vivaan Singh</t>
  </si>
  <si>
    <t xml:space="preserve">CUST-0502</t>
  </si>
  <si>
    <t xml:space="preserve">Sai Mehta</t>
  </si>
  <si>
    <t xml:space="preserve">CUST-0582</t>
  </si>
  <si>
    <t xml:space="preserve">Isha Pillai</t>
  </si>
  <si>
    <t xml:space="preserve">CUST-1114</t>
  </si>
  <si>
    <t xml:space="preserve">Rahul Choudhury</t>
  </si>
  <si>
    <t xml:space="preserve">CUST-0765</t>
  </si>
  <si>
    <t xml:space="preserve">Vihaan Patel</t>
  </si>
  <si>
    <t xml:space="preserve">CUST-0506</t>
  </si>
  <si>
    <t xml:space="preserve">Priya Mehta</t>
  </si>
  <si>
    <t xml:space="preserve">CUST-1067</t>
  </si>
  <si>
    <t xml:space="preserve">Amit Agrawal</t>
  </si>
  <si>
    <t xml:space="preserve">CUST-0934</t>
  </si>
  <si>
    <t xml:space="preserve">Meena Choudhury</t>
  </si>
  <si>
    <t xml:space="preserve">CUST-0887</t>
  </si>
  <si>
    <t xml:space="preserve">Aadhya Banerjee</t>
  </si>
  <si>
    <t xml:space="preserve">CUST-0261</t>
  </si>
  <si>
    <t xml:space="preserve">Aadhya Shah</t>
  </si>
  <si>
    <t xml:space="preserve">CUST-0797</t>
  </si>
  <si>
    <t xml:space="preserve">CUST-1058</t>
  </si>
  <si>
    <t xml:space="preserve">Rahul Gupta</t>
  </si>
  <si>
    <t xml:space="preserve">CUST-1010</t>
  </si>
  <si>
    <t xml:space="preserve">Rekha Mehta</t>
  </si>
  <si>
    <t xml:space="preserve">CUST-0967</t>
  </si>
  <si>
    <t xml:space="preserve">CUST-0547</t>
  </si>
  <si>
    <t xml:space="preserve">CUST-1017</t>
  </si>
  <si>
    <t xml:space="preserve">Geeta Bansal</t>
  </si>
  <si>
    <t xml:space="preserve">CUST-0601</t>
  </si>
  <si>
    <t xml:space="preserve">Priya Pandey</t>
  </si>
  <si>
    <t xml:space="preserve">CUST-0715</t>
  </si>
  <si>
    <t xml:space="preserve">Saanvi Iyer</t>
  </si>
  <si>
    <t xml:space="preserve">CUST-1069</t>
  </si>
  <si>
    <t xml:space="preserve">Vikram Chatterjee</t>
  </si>
  <si>
    <t xml:space="preserve">CUST-0146</t>
  </si>
  <si>
    <t xml:space="preserve">CUST-0041</t>
  </si>
  <si>
    <t xml:space="preserve">Ayaan Kulkarni</t>
  </si>
  <si>
    <t xml:space="preserve">CUST-0538</t>
  </si>
  <si>
    <t xml:space="preserve">Vivaan Shah</t>
  </si>
  <si>
    <t xml:space="preserve">CUST-1172</t>
  </si>
  <si>
    <t xml:space="preserve">Ishaan Verma</t>
  </si>
  <si>
    <t xml:space="preserve">CUST-0730</t>
  </si>
  <si>
    <t xml:space="preserve">CUST-0475</t>
  </si>
  <si>
    <t xml:space="preserve">Sunil Banerjee</t>
  </si>
  <si>
    <t xml:space="preserve">CUST-0183</t>
  </si>
  <si>
    <t xml:space="preserve">CUST-0811</t>
  </si>
  <si>
    <t xml:space="preserve">Vihaan Mishra</t>
  </si>
  <si>
    <t xml:space="preserve">CUST-1155</t>
  </si>
  <si>
    <t xml:space="preserve">Vikram Iyer</t>
  </si>
  <si>
    <t xml:space="preserve">CUST-0231</t>
  </si>
  <si>
    <t xml:space="preserve">CUST-0836</t>
  </si>
  <si>
    <t xml:space="preserve">Aadhya Bansal</t>
  </si>
  <si>
    <t xml:space="preserve">CUST-1115</t>
  </si>
  <si>
    <t xml:space="preserve">CUST-1121</t>
  </si>
  <si>
    <t xml:space="preserve">Pari Singh</t>
  </si>
  <si>
    <t xml:space="preserve">CUST-0177</t>
  </si>
  <si>
    <t xml:space="preserve">Pari Choudhury</t>
  </si>
  <si>
    <t xml:space="preserve">CUST-1090</t>
  </si>
  <si>
    <t xml:space="preserve">CUST-0194</t>
  </si>
  <si>
    <t xml:space="preserve">CUST-0784</t>
  </si>
  <si>
    <t xml:space="preserve">CUST-0595</t>
  </si>
  <si>
    <t xml:space="preserve">CUST-0729</t>
  </si>
  <si>
    <t xml:space="preserve">Kavita Patil</t>
  </si>
  <si>
    <t xml:space="preserve">CUST-0972</t>
  </si>
  <si>
    <t xml:space="preserve">CUST-0214</t>
  </si>
  <si>
    <t xml:space="preserve">CUST-0052</t>
  </si>
  <si>
    <t xml:space="preserve">CUST-0365</t>
  </si>
  <si>
    <t xml:space="preserve">Priya Gupta</t>
  </si>
  <si>
    <t xml:space="preserve">CUST-1073</t>
  </si>
  <si>
    <t xml:space="preserve">Reyansh Mishra</t>
  </si>
  <si>
    <t xml:space="preserve">CUST-0824</t>
  </si>
  <si>
    <t xml:space="preserve">Ishaan Patel</t>
  </si>
  <si>
    <t xml:space="preserve">CUST-1183</t>
  </si>
  <si>
    <t xml:space="preserve">CUST-0125</t>
  </si>
  <si>
    <t xml:space="preserve">Vikram Menon</t>
  </si>
  <si>
    <t xml:space="preserve">CUST-0629</t>
  </si>
  <si>
    <t xml:space="preserve">Vihaan Iyer</t>
  </si>
  <si>
    <t xml:space="preserve">CUST-0645</t>
  </si>
  <si>
    <t xml:space="preserve">Rajesh Mehta</t>
  </si>
  <si>
    <t xml:space="preserve">CUST-0833</t>
  </si>
  <si>
    <t xml:space="preserve">CUST-0470</t>
  </si>
  <si>
    <t xml:space="preserve">CUST-1169</t>
  </si>
  <si>
    <t xml:space="preserve">Manoj Shah</t>
  </si>
  <si>
    <t xml:space="preserve">CUST-0733</t>
  </si>
  <si>
    <t xml:space="preserve">Sai Mishra</t>
  </si>
  <si>
    <t xml:space="preserve">CUST-0251</t>
  </si>
  <si>
    <t xml:space="preserve">Arjun Choudhury</t>
  </si>
  <si>
    <t xml:space="preserve">CUST-0220</t>
  </si>
  <si>
    <t xml:space="preserve">CUST-0400</t>
  </si>
  <si>
    <t xml:space="preserve">CUST-0122</t>
  </si>
  <si>
    <t xml:space="preserve">CUST-0971</t>
  </si>
  <si>
    <t xml:space="preserve">Riya Joshi</t>
  </si>
  <si>
    <t xml:space="preserve">CUST-0865</t>
  </si>
  <si>
    <t xml:space="preserve">CUST-1192</t>
  </si>
  <si>
    <t xml:space="preserve">CUST-0564</t>
  </si>
  <si>
    <t xml:space="preserve">Navya Verma</t>
  </si>
  <si>
    <t xml:space="preserve">CUST-1044</t>
  </si>
  <si>
    <t xml:space="preserve">Priya Iyer</t>
  </si>
  <si>
    <t xml:space="preserve">CUST-0310</t>
  </si>
  <si>
    <t xml:space="preserve">CUST-1120</t>
  </si>
  <si>
    <t xml:space="preserve">CUST-0232</t>
  </si>
  <si>
    <t xml:space="preserve">CUST-0057</t>
  </si>
  <si>
    <t xml:space="preserve">Sunita Nair</t>
  </si>
  <si>
    <t xml:space="preserve">CUST-0750</t>
  </si>
  <si>
    <t xml:space="preserve">Vikram Rao</t>
  </si>
  <si>
    <t xml:space="preserve">CUST-0465</t>
  </si>
  <si>
    <t xml:space="preserve">Geeta Gupta</t>
  </si>
  <si>
    <t xml:space="preserve">CUST-0528</t>
  </si>
  <si>
    <t xml:space="preserve">CUST-0466</t>
  </si>
  <si>
    <t xml:space="preserve">Rohan Patel</t>
  </si>
  <si>
    <t xml:space="preserve">CUST-0883</t>
  </si>
  <si>
    <t xml:space="preserve">CUST-0520</t>
  </si>
  <si>
    <t xml:space="preserve">CUST-1142</t>
  </si>
  <si>
    <t xml:space="preserve">CUST-0823</t>
  </si>
  <si>
    <t xml:space="preserve">CUST-0158</t>
  </si>
  <si>
    <t xml:space="preserve">Rajesh Yadav</t>
  </si>
  <si>
    <t xml:space="preserve">CUST-0716</t>
  </si>
  <si>
    <t xml:space="preserve">CUST-0424</t>
  </si>
  <si>
    <t xml:space="preserve">Myra Yadav</t>
  </si>
  <si>
    <t xml:space="preserve">CUST-1130</t>
  </si>
  <si>
    <t xml:space="preserve">Rajesh Sharma</t>
  </si>
  <si>
    <t xml:space="preserve">CUST-1047</t>
  </si>
  <si>
    <t xml:space="preserve">Aditya Agrawal</t>
  </si>
  <si>
    <t xml:space="preserve">CUST-0132</t>
  </si>
  <si>
    <t xml:space="preserve">Riya Rao</t>
  </si>
  <si>
    <t xml:space="preserve">CUST-0171</t>
  </si>
  <si>
    <t xml:space="preserve">Deepak Shah</t>
  </si>
  <si>
    <t xml:space="preserve">CUST-0203</t>
  </si>
  <si>
    <t xml:space="preserve">Ayaan Singh</t>
  </si>
  <si>
    <t xml:space="preserve">CUST-0217</t>
  </si>
  <si>
    <t xml:space="preserve">Diya Patil</t>
  </si>
  <si>
    <t xml:space="preserve">CUST-0015</t>
  </si>
  <si>
    <t xml:space="preserve">Sai Pandey</t>
  </si>
  <si>
    <t xml:space="preserve">CUST-0154</t>
  </si>
  <si>
    <t xml:space="preserve">CUST-0756</t>
  </si>
  <si>
    <t xml:space="preserve">Aarav Pillai</t>
  </si>
  <si>
    <t xml:space="preserve">CUST-0005</t>
  </si>
  <si>
    <t xml:space="preserve">Pari Mishra</t>
  </si>
  <si>
    <t xml:space="preserve">CUST-0478</t>
  </si>
  <si>
    <t xml:space="preserve">CUST-0899</t>
  </si>
  <si>
    <t xml:space="preserve">Neha Pillai</t>
  </si>
  <si>
    <t xml:space="preserve">CUST-0069</t>
  </si>
  <si>
    <t xml:space="preserve">Vikram Nair</t>
  </si>
  <si>
    <t xml:space="preserve">CUST-0117</t>
  </si>
  <si>
    <t xml:space="preserve">Sunil Pandey</t>
  </si>
  <si>
    <t xml:space="preserve">CUST-1033</t>
  </si>
  <si>
    <t xml:space="preserve">Rekha Verma</t>
  </si>
  <si>
    <t xml:space="preserve">CUST-1184</t>
  </si>
  <si>
    <t xml:space="preserve">Vihaan Bhatia</t>
  </si>
  <si>
    <t xml:space="preserve">CUST-0180</t>
  </si>
  <si>
    <t xml:space="preserve">Vihaan Nair</t>
  </si>
  <si>
    <t xml:space="preserve">CUST-0977</t>
  </si>
  <si>
    <t xml:space="preserve">CUST-0019</t>
  </si>
  <si>
    <t xml:space="preserve">CUST-0426</t>
  </si>
  <si>
    <t xml:space="preserve">Ishaan Kulkarni</t>
  </si>
  <si>
    <t xml:space="preserve">CUST-0796</t>
  </si>
  <si>
    <t xml:space="preserve">Pooja Mehta</t>
  </si>
  <si>
    <t xml:space="preserve">CUST-0984</t>
  </si>
  <si>
    <t xml:space="preserve">CUST-0606</t>
  </si>
  <si>
    <t xml:space="preserve">Anil Gupta</t>
  </si>
  <si>
    <t xml:space="preserve">CUST-0737</t>
  </si>
  <si>
    <t xml:space="preserve">Ishaan Iyer</t>
  </si>
  <si>
    <t xml:space="preserve">CUST-0076</t>
  </si>
  <si>
    <t xml:space="preserve">Arjun Banerjee</t>
  </si>
  <si>
    <t xml:space="preserve">CUST-0043</t>
  </si>
  <si>
    <t xml:space="preserve">Ayaan Mehta</t>
  </si>
  <si>
    <t xml:space="preserve">CUST-0762</t>
  </si>
  <si>
    <t xml:space="preserve">Anita Pillai</t>
  </si>
  <si>
    <t xml:space="preserve">CUST-0044</t>
  </si>
  <si>
    <t xml:space="preserve">CUST-0718</t>
  </si>
  <si>
    <t xml:space="preserve">Reyansh Iyer</t>
  </si>
  <si>
    <t xml:space="preserve">CUST-0936</t>
  </si>
  <si>
    <t xml:space="preserve">Diya Chatterjee</t>
  </si>
  <si>
    <t xml:space="preserve">CUST-0705</t>
  </si>
  <si>
    <t xml:space="preserve">CUST-1023</t>
  </si>
  <si>
    <t xml:space="preserve">Neha Mishra</t>
  </si>
  <si>
    <t xml:space="preserve">CUST-0218</t>
  </si>
  <si>
    <t xml:space="preserve">Riya Yadav</t>
  </si>
  <si>
    <t xml:space="preserve">CUST-0053</t>
  </si>
  <si>
    <t xml:space="preserve">Sai Gupta</t>
  </si>
  <si>
    <t xml:space="preserve">CUST-0090</t>
  </si>
  <si>
    <t xml:space="preserve">Rekha Gupta</t>
  </si>
  <si>
    <t xml:space="preserve">CUST-0489</t>
  </si>
  <si>
    <t xml:space="preserve">CUST-0627</t>
  </si>
  <si>
    <t xml:space="preserve">CUST-0257</t>
  </si>
  <si>
    <t xml:space="preserve">Geeta Choudhury</t>
  </si>
  <si>
    <t xml:space="preserve">CUST-0259</t>
  </si>
  <si>
    <t xml:space="preserve">CUST-0578</t>
  </si>
  <si>
    <t xml:space="preserve">Vihaan Gupta</t>
  </si>
  <si>
    <t xml:space="preserve">CUST-0711</t>
  </si>
  <si>
    <t xml:space="preserve">CUST-1178</t>
  </si>
  <si>
    <t xml:space="preserve">Suresh Bansal</t>
  </si>
  <si>
    <t xml:space="preserve">CUST-0157</t>
  </si>
  <si>
    <t xml:space="preserve">CUST-0395</t>
  </si>
  <si>
    <t xml:space="preserve">Krishna Sharma</t>
  </si>
  <si>
    <t xml:space="preserve">CUST-0961</t>
  </si>
  <si>
    <t xml:space="preserve">Anil Rao</t>
  </si>
  <si>
    <t xml:space="preserve">CUST-0612</t>
  </si>
  <si>
    <t xml:space="preserve">Ananya Iyer</t>
  </si>
  <si>
    <t xml:space="preserve">CUST-0330</t>
  </si>
  <si>
    <t xml:space="preserve">Sneha Bansal</t>
  </si>
  <si>
    <t xml:space="preserve">CUST-0879</t>
  </si>
  <si>
    <t xml:space="preserve">Rekha Deshmukh</t>
  </si>
  <si>
    <t xml:space="preserve">CUST-0397</t>
  </si>
  <si>
    <t xml:space="preserve">CUST-1004</t>
  </si>
  <si>
    <t xml:space="preserve">CUST-0522</t>
  </si>
  <si>
    <t xml:space="preserve">Ananya Kumar</t>
  </si>
  <si>
    <t xml:space="preserve">CUST-0697</t>
  </si>
  <si>
    <t xml:space="preserve">Rajesh Malhotra</t>
  </si>
  <si>
    <t xml:space="preserve">CUST-0577</t>
  </si>
  <si>
    <t xml:space="preserve">Anita Das</t>
  </si>
  <si>
    <t xml:space="preserve">CUST-1126</t>
  </si>
  <si>
    <t xml:space="preserve">CUST-0334</t>
  </si>
  <si>
    <t xml:space="preserve">Diya Iyer</t>
  </si>
  <si>
    <t xml:space="preserve">CUST-0944</t>
  </si>
  <si>
    <t xml:space="preserve">Suresh Iyer</t>
  </si>
  <si>
    <t xml:space="preserve">CUST-0277</t>
  </si>
  <si>
    <t xml:space="preserve">Rahul Yadav</t>
  </si>
  <si>
    <t xml:space="preserve">CUST-0898</t>
  </si>
  <si>
    <t xml:space="preserve">Aditya Singh</t>
  </si>
  <si>
    <t xml:space="preserve">CUST-0201</t>
  </si>
  <si>
    <t xml:space="preserve">Saanvi Kumar</t>
  </si>
  <si>
    <t xml:space="preserve">CUST-0809</t>
  </si>
  <si>
    <t xml:space="preserve">Ananya Bhatia</t>
  </si>
  <si>
    <t xml:space="preserve">CUST-0477</t>
  </si>
  <si>
    <t xml:space="preserve">Rahul Bhatia</t>
  </si>
  <si>
    <t xml:space="preserve">CUST-0774</t>
  </si>
  <si>
    <t xml:space="preserve">Sanjay Chatterjee</t>
  </si>
  <si>
    <t xml:space="preserve">CUST-0804</t>
  </si>
  <si>
    <t xml:space="preserve">Ishaan Nair</t>
  </si>
  <si>
    <t xml:space="preserve">CUST-0455</t>
  </si>
  <si>
    <t xml:space="preserve">CUST-0369</t>
  </si>
  <si>
    <t xml:space="preserve">CUST-0212</t>
  </si>
  <si>
    <t xml:space="preserve">Aditya Rao</t>
  </si>
  <si>
    <t xml:space="preserve">CUST-0636</t>
  </si>
  <si>
    <t xml:space="preserve">Vihaan Mehta</t>
  </si>
  <si>
    <t xml:space="preserve">CUST-0049</t>
  </si>
  <si>
    <t xml:space="preserve">Geeta Garg</t>
  </si>
  <si>
    <t xml:space="preserve">CUST-1135</t>
  </si>
  <si>
    <t xml:space="preserve">CUST-0594</t>
  </si>
  <si>
    <t xml:space="preserve">Sai Menon</t>
  </si>
  <si>
    <t xml:space="preserve">CUST-0356</t>
  </si>
  <si>
    <t xml:space="preserve">Sai Garg</t>
  </si>
  <si>
    <t xml:space="preserve">CUST-0900</t>
  </si>
  <si>
    <t xml:space="preserve">Reyansh Sharma</t>
  </si>
  <si>
    <t xml:space="preserve">CUST-0016</t>
  </si>
  <si>
    <t xml:space="preserve">Anita Bansal</t>
  </si>
  <si>
    <t xml:space="preserve">CUST-0020</t>
  </si>
  <si>
    <t xml:space="preserve">Amit Shah</t>
  </si>
  <si>
    <t xml:space="preserve">CUST-1144</t>
  </si>
  <si>
    <t xml:space="preserve">Anil Choudhury</t>
  </si>
  <si>
    <t xml:space="preserve">CUST-0033</t>
  </si>
  <si>
    <t xml:space="preserve">Navya Patil</t>
  </si>
  <si>
    <t xml:space="preserve">CUST-0922</t>
  </si>
  <si>
    <t xml:space="preserve">CUST-0344</t>
  </si>
  <si>
    <t xml:space="preserve">Saanvi Choudhury</t>
  </si>
  <si>
    <t xml:space="preserve">CUST-0061</t>
  </si>
  <si>
    <t xml:space="preserve">Arjun Reddy</t>
  </si>
  <si>
    <t xml:space="preserve">CUST-0557</t>
  </si>
  <si>
    <t xml:space="preserve">CUST-0342</t>
  </si>
  <si>
    <t xml:space="preserve">Sneha Joshi</t>
  </si>
  <si>
    <t xml:space="preserve">CUST-0234</t>
  </si>
  <si>
    <t xml:space="preserve">Priya Chatterjee</t>
  </si>
  <si>
    <t xml:space="preserve">CUST-1143</t>
  </si>
  <si>
    <t xml:space="preserve">Krishna Iyer</t>
  </si>
  <si>
    <t xml:space="preserve">CUST-0421</t>
  </si>
  <si>
    <t xml:space="preserve">Sanjay Pandey</t>
  </si>
  <si>
    <t xml:space="preserve">CUST-0910</t>
  </si>
  <si>
    <t xml:space="preserve">CUST-0665</t>
  </si>
  <si>
    <t xml:space="preserve">Vikram Singh</t>
  </si>
  <si>
    <t xml:space="preserve">CUST-0623</t>
  </si>
  <si>
    <t xml:space="preserve">Navya Joshi</t>
  </si>
  <si>
    <t xml:space="preserve">CUST-1006</t>
  </si>
  <si>
    <t xml:space="preserve">CUST-0087</t>
  </si>
  <si>
    <t xml:space="preserve">Vihaan Singh</t>
  </si>
  <si>
    <t xml:space="preserve">CUST-0402</t>
  </si>
  <si>
    <t xml:space="preserve">Geeta Mehta</t>
  </si>
  <si>
    <t xml:space="preserve">CUST-0588</t>
  </si>
  <si>
    <t xml:space="preserve">Isha Malhotra</t>
  </si>
  <si>
    <t xml:space="preserve">CUST-1052</t>
  </si>
  <si>
    <t xml:space="preserve">Vikram Garg</t>
  </si>
  <si>
    <t xml:space="preserve">CUST-0461</t>
  </si>
  <si>
    <t xml:space="preserve">CUST-0948</t>
  </si>
  <si>
    <t xml:space="preserve">Anil Patil</t>
  </si>
  <si>
    <t xml:space="preserve">CUST-1038</t>
  </si>
  <si>
    <t xml:space="preserve">CUST-0505</t>
  </si>
  <si>
    <t xml:space="preserve">Sunita Mishra</t>
  </si>
  <si>
    <t xml:space="preserve">CUST-0689</t>
  </si>
  <si>
    <t xml:space="preserve">CUST-1100</t>
  </si>
  <si>
    <t xml:space="preserve">CUST-0114</t>
  </si>
  <si>
    <t xml:space="preserve">CUST-0635</t>
  </si>
  <si>
    <t xml:space="preserve">Deepak Patel</t>
  </si>
  <si>
    <t xml:space="preserve">CUST-0110</t>
  </si>
  <si>
    <t xml:space="preserve">CUST-0290</t>
  </si>
  <si>
    <t xml:space="preserve">Meena Kumar</t>
  </si>
  <si>
    <t xml:space="preserve">CUST-0548</t>
  </si>
  <si>
    <t xml:space="preserve">Diya Kulkarni</t>
  </si>
  <si>
    <t xml:space="preserve">CUST-0483</t>
  </si>
  <si>
    <t xml:space="preserve">Anita Yadav</t>
  </si>
  <si>
    <t xml:space="preserve">CUST-0753</t>
  </si>
  <si>
    <t xml:space="preserve">CUST-0366</t>
  </si>
  <si>
    <t xml:space="preserve">Aarav Shah</t>
  </si>
  <si>
    <t xml:space="preserve">CUST-0066</t>
  </si>
  <si>
    <t xml:space="preserve">Riya Kulkarni</t>
  </si>
  <si>
    <t xml:space="preserve">CUST-1089</t>
  </si>
  <si>
    <t xml:space="preserve">Sneha Shah</t>
  </si>
  <si>
    <t xml:space="preserve">CUST-0740</t>
  </si>
  <si>
    <t xml:space="preserve">CUST-0030</t>
  </si>
  <si>
    <t xml:space="preserve">Aadhya Joshi</t>
  </si>
  <si>
    <t xml:space="preserve">CUST-0142</t>
  </si>
  <si>
    <t xml:space="preserve">CUST-0688</t>
  </si>
  <si>
    <t xml:space="preserve">CUST-0906</t>
  </si>
  <si>
    <t xml:space="preserve">CUST-0282</t>
  </si>
  <si>
    <t xml:space="preserve">Riya Iyer</t>
  </si>
  <si>
    <t xml:space="preserve">CUST-0481</t>
  </si>
  <si>
    <t xml:space="preserve">Deepak Verma</t>
  </si>
  <si>
    <t xml:space="preserve">CUST-0246</t>
  </si>
  <si>
    <t xml:space="preserve">Sanjay Mehta</t>
  </si>
  <si>
    <t xml:space="preserve">CUST-0763</t>
  </si>
  <si>
    <t xml:space="preserve">Isha Nair</t>
  </si>
  <si>
    <t xml:space="preserve">CUST-0908</t>
  </si>
  <si>
    <t xml:space="preserve">CUST-0307</t>
  </si>
  <si>
    <t xml:space="preserve">Rohan Garg</t>
  </si>
  <si>
    <t xml:space="preserve">CUST-0873</t>
  </si>
  <si>
    <t xml:space="preserve">Suresh Yadav</t>
  </si>
  <si>
    <t xml:space="preserve">CUST-0565</t>
  </si>
  <si>
    <t xml:space="preserve">Saanvi Mehta</t>
  </si>
  <si>
    <t xml:space="preserve">CUST-0459</t>
  </si>
  <si>
    <t xml:space="preserve">Neha Deshmukh</t>
  </si>
  <si>
    <t xml:space="preserve">CUST-0904</t>
  </si>
  <si>
    <t xml:space="preserve">Kavita Pillai</t>
  </si>
  <si>
    <t xml:space="preserve">CUST-0541</t>
  </si>
  <si>
    <t xml:space="preserve">CUST-0549</t>
  </si>
  <si>
    <t xml:space="preserve">Geeta Rao</t>
  </si>
  <si>
    <t xml:space="preserve">CUST-0806</t>
  </si>
  <si>
    <t xml:space="preserve">CUST-0450</t>
  </si>
  <si>
    <t xml:space="preserve">CUST-0340</t>
  </si>
  <si>
    <t xml:space="preserve">Myra Kulkarni</t>
  </si>
  <si>
    <t xml:space="preserve">CUST-0078</t>
  </si>
  <si>
    <t xml:space="preserve">Aarav Gupta</t>
  </si>
  <si>
    <t xml:space="preserve">CUST-0872</t>
  </si>
  <si>
    <t xml:space="preserve">Priya Shah</t>
  </si>
  <si>
    <t xml:space="preserve">CUST-0073</t>
  </si>
  <si>
    <t xml:space="preserve">CUST-0312</t>
  </si>
  <si>
    <t xml:space="preserve">CUST-0258</t>
  </si>
  <si>
    <t xml:space="preserve">Sneha Agrawal</t>
  </si>
  <si>
    <t xml:space="preserve">CUST-0825</t>
  </si>
  <si>
    <t xml:space="preserve">Geeta Shah</t>
  </si>
  <si>
    <t xml:space="preserve">CUST-1148</t>
  </si>
  <si>
    <t xml:space="preserve">Rohan Patil</t>
  </si>
  <si>
    <t xml:space="preserve">CUST-0813</t>
  </si>
  <si>
    <t xml:space="preserve">Krishna Kumar</t>
  </si>
  <si>
    <t xml:space="preserve">CUST-0003</t>
  </si>
  <si>
    <t xml:space="preserve">Manoj Gupta</t>
  </si>
  <si>
    <t xml:space="preserve">CUST-0446</t>
  </si>
  <si>
    <t xml:space="preserve">Aadhya Pillai</t>
  </si>
  <si>
    <t xml:space="preserve">CUST-0341</t>
  </si>
  <si>
    <t xml:space="preserve">CUST-0788</t>
  </si>
  <si>
    <t xml:space="preserve">Saanvi Menon</t>
  </si>
  <si>
    <t xml:space="preserve">CUST-1140</t>
  </si>
  <si>
    <t xml:space="preserve">Anita Menon</t>
  </si>
  <si>
    <t xml:space="preserve">CUST-0038</t>
  </si>
  <si>
    <t xml:space="preserve">CUST-0831</t>
  </si>
  <si>
    <t xml:space="preserve">CUST-0230</t>
  </si>
  <si>
    <t xml:space="preserve">Rajesh Joshi</t>
  </si>
  <si>
    <t xml:space="preserve">CUST-0864</t>
  </si>
  <si>
    <t xml:space="preserve">Rekha Yadav</t>
  </si>
  <si>
    <t xml:space="preserve">CUST-0371</t>
  </si>
  <si>
    <t xml:space="preserve">CUST-0510</t>
  </si>
  <si>
    <t xml:space="preserve">Meena Pillai</t>
  </si>
  <si>
    <t xml:space="preserve">CUST-0495</t>
  </si>
  <si>
    <t xml:space="preserve">CUST-0789</t>
  </si>
  <si>
    <t xml:space="preserve">Sanjay Nair</t>
  </si>
  <si>
    <t xml:space="preserve">CUST-0309</t>
  </si>
  <si>
    <t xml:space="preserve">Sneha Kumar</t>
  </si>
  <si>
    <t xml:space="preserve">CUST-0209</t>
  </si>
  <si>
    <t xml:space="preserve">Arjun Singh</t>
  </si>
  <si>
    <t xml:space="preserve">CUST-0394</t>
  </si>
  <si>
    <t xml:space="preserve">CUST-0316</t>
  </si>
  <si>
    <t xml:space="preserve">Amit Choudhury</t>
  </si>
  <si>
    <t xml:space="preserve">CUST-1118</t>
  </si>
  <si>
    <t xml:space="preserve">Pooja Pillai</t>
  </si>
  <si>
    <t xml:space="preserve">CUST-0513</t>
  </si>
  <si>
    <t xml:space="preserve">CUST-0998</t>
  </si>
  <si>
    <t xml:space="preserve">Reyansh Malhotra</t>
  </si>
  <si>
    <t xml:space="preserve">CUST-0615</t>
  </si>
  <si>
    <t xml:space="preserve">Sanjay Shah</t>
  </si>
  <si>
    <t xml:space="preserve">CUST-0927</t>
  </si>
  <si>
    <t xml:space="preserve">Rekha Choudhury</t>
  </si>
  <si>
    <t xml:space="preserve">CUST-0294</t>
  </si>
  <si>
    <t xml:space="preserve">CUST-0901</t>
  </si>
  <si>
    <t xml:space="preserve">CUST-0757</t>
  </si>
  <si>
    <t xml:space="preserve">Kavita Kulkarni</t>
  </si>
  <si>
    <t xml:space="preserve">CUST-0372</t>
  </si>
  <si>
    <t xml:space="preserve">Arjun Joshi</t>
  </si>
  <si>
    <t xml:space="preserve">CUST-0677</t>
  </si>
  <si>
    <t xml:space="preserve">Rahul Kulkarni</t>
  </si>
  <si>
    <t xml:space="preserve">CUST-0637</t>
  </si>
  <si>
    <t xml:space="preserve">Vikram Patel</t>
  </si>
  <si>
    <t xml:space="preserve">CUST-0727</t>
  </si>
  <si>
    <t xml:space="preserve">Myra Rao</t>
  </si>
  <si>
    <t xml:space="preserve">CUST-1026</t>
  </si>
  <si>
    <t xml:space="preserve">CUST-0360</t>
  </si>
  <si>
    <t xml:space="preserve">Navya Garg</t>
  </si>
  <si>
    <t xml:space="preserve">CUST-0353</t>
  </si>
  <si>
    <t xml:space="preserve">Krishna Joshi</t>
  </si>
  <si>
    <t xml:space="preserve">CUST-0443</t>
  </si>
  <si>
    <t xml:space="preserve">Vihaan Kulkarni</t>
  </si>
  <si>
    <t xml:space="preserve">CUST-0155</t>
  </si>
  <si>
    <t xml:space="preserve">Anita Reddy</t>
  </si>
  <si>
    <t xml:space="preserve">CUST-0498</t>
  </si>
  <si>
    <t xml:space="preserve">Rekha Agrawal</t>
  </si>
  <si>
    <t xml:space="preserve">CUST-0970</t>
  </si>
  <si>
    <t xml:space="preserve">Neha Chatterjee</t>
  </si>
  <si>
    <t xml:space="preserve">CUST-0107</t>
  </si>
  <si>
    <t xml:space="preserve">CUST-0332</t>
  </si>
  <si>
    <t xml:space="preserve">Pooja Rao</t>
  </si>
  <si>
    <t xml:space="preserve">CUST-0875</t>
  </si>
  <si>
    <t xml:space="preserve">Aarav Choudhury</t>
  </si>
  <si>
    <t xml:space="preserve">CUST-0085</t>
  </si>
  <si>
    <t xml:space="preserve">Aadhya Verma</t>
  </si>
  <si>
    <t xml:space="preserve">CUST-0605</t>
  </si>
  <si>
    <t xml:space="preserve">Geeta Das</t>
  </si>
  <si>
    <t xml:space="preserve">CUST-1159</t>
  </si>
  <si>
    <t xml:space="preserve">Pari Iyer</t>
  </si>
  <si>
    <t xml:space="preserve">CUST-0378</t>
  </si>
  <si>
    <t xml:space="preserve">Manoj Das</t>
  </si>
  <si>
    <t xml:space="preserve">CUST-1166</t>
  </si>
  <si>
    <t xml:space="preserve">Rekha Bansal</t>
  </si>
  <si>
    <t xml:space="preserve">CUST-0219</t>
  </si>
  <si>
    <t xml:space="preserve">CUST-0029</t>
  </si>
  <si>
    <t xml:space="preserve">Aadhya Garg</t>
  </si>
  <si>
    <t xml:space="preserve">CUST-0607</t>
  </si>
  <si>
    <t xml:space="preserve">CUST-0980</t>
  </si>
  <si>
    <t xml:space="preserve">CUST-0314</t>
  </si>
  <si>
    <t xml:space="preserve">CUST-0327</t>
  </si>
  <si>
    <t xml:space="preserve">CUST-0790</t>
  </si>
  <si>
    <t xml:space="preserve">Rohan Mehta</t>
  </si>
  <si>
    <t xml:space="preserve">CUST-0810</t>
  </si>
  <si>
    <t xml:space="preserve">CUST-0683</t>
  </si>
  <si>
    <t xml:space="preserve">Aadhya Deshmukh</t>
  </si>
  <si>
    <t xml:space="preserve">CUST-0812</t>
  </si>
  <si>
    <t xml:space="preserve">Vihaan Pillai</t>
  </si>
  <si>
    <t xml:space="preserve">CUST-0930</t>
  </si>
  <si>
    <t xml:space="preserve">Sneha Garg</t>
  </si>
  <si>
    <t xml:space="preserve">CUST-0965</t>
  </si>
  <si>
    <t xml:space="preserve">Krishna Pillai</t>
  </si>
  <si>
    <t xml:space="preserve">CUST-0792</t>
  </si>
  <si>
    <t xml:space="preserve">Rajesh Garg</t>
  </si>
  <si>
    <t xml:space="preserve">CUST-0891</t>
  </si>
  <si>
    <t xml:space="preserve">CUST-0896</t>
  </si>
  <si>
    <t xml:space="preserve">CUST-0120</t>
  </si>
  <si>
    <t xml:space="preserve">Isha Kulkarni</t>
  </si>
  <si>
    <t xml:space="preserve">CUST-0884</t>
  </si>
  <si>
    <t xml:space="preserve">CUST-1000</t>
  </si>
  <si>
    <t xml:space="preserve">Ishaan Gupta</t>
  </si>
  <si>
    <t xml:space="preserve">CUST-0393</t>
  </si>
  <si>
    <t xml:space="preserve">Krishna Pandey</t>
  </si>
  <si>
    <t xml:space="preserve">CUST-1191</t>
  </si>
  <si>
    <t xml:space="preserve">Aditya Mishra</t>
  </si>
  <si>
    <t xml:space="preserve">CUST-0500</t>
  </si>
  <si>
    <t xml:space="preserve">CUST-0846</t>
  </si>
  <si>
    <t xml:space="preserve">CUST-0184</t>
  </si>
  <si>
    <t xml:space="preserve">Sneha Pillai</t>
  </si>
  <si>
    <t xml:space="preserve">CUST-0839</t>
  </si>
  <si>
    <t xml:space="preserve">Manoj Singh</t>
  </si>
  <si>
    <t xml:space="preserve">CUST-1057</t>
  </si>
  <si>
    <t xml:space="preserve">Myra Pillai</t>
  </si>
  <si>
    <t xml:space="preserve">CUST-0249</t>
  </si>
  <si>
    <t xml:space="preserve">CUST-1007</t>
  </si>
  <si>
    <t xml:space="preserve">Sunita Reddy</t>
  </si>
  <si>
    <t xml:space="preserve">CUST-0530</t>
  </si>
  <si>
    <t xml:space="preserve">CUST-0560</t>
  </si>
  <si>
    <t xml:space="preserve">Kavita Verma</t>
  </si>
  <si>
    <t xml:space="preserve">CUST-0253</t>
  </si>
  <si>
    <t xml:space="preserve">Ishaan Bhatia</t>
  </si>
  <si>
    <t xml:space="preserve">CUST-1074</t>
  </si>
  <si>
    <t xml:space="preserve">Neha Gupta</t>
  </si>
  <si>
    <t xml:space="preserve">CUST-0648</t>
  </si>
  <si>
    <t xml:space="preserve">Aditya Choudhury</t>
  </si>
  <si>
    <t xml:space="preserve">CUST-0985</t>
  </si>
  <si>
    <t xml:space="preserve">CUST-0147</t>
  </si>
  <si>
    <t xml:space="preserve">CUST-0647</t>
  </si>
  <si>
    <t xml:space="preserve">Priya Pillai</t>
  </si>
  <si>
    <t xml:space="preserve">CUST-0764</t>
  </si>
  <si>
    <t xml:space="preserve">CUST-0886</t>
  </si>
  <si>
    <t xml:space="preserve">Sanjay Sharma</t>
  </si>
  <si>
    <t xml:space="preserve">CUST-0856</t>
  </si>
  <si>
    <t xml:space="preserve">Amit Deshmukh</t>
  </si>
  <si>
    <t xml:space="preserve">CUST-0248</t>
  </si>
  <si>
    <t xml:space="preserve">Anil Mehta</t>
  </si>
  <si>
    <t xml:space="preserve">CUST-0496</t>
  </si>
  <si>
    <t xml:space="preserve">Sanjay Kulkarni</t>
  </si>
  <si>
    <t xml:space="preserve">CUST-0848</t>
  </si>
  <si>
    <t xml:space="preserve">CUST-0861</t>
  </si>
  <si>
    <t xml:space="preserve">CUST-0662</t>
  </si>
  <si>
    <t xml:space="preserve">CUST-1194</t>
  </si>
  <si>
    <t xml:space="preserve">Ananya Nair</t>
  </si>
  <si>
    <t xml:space="preserve">CUST-0940</t>
  </si>
  <si>
    <t xml:space="preserve">CUST-0071</t>
  </si>
  <si>
    <t xml:space="preserve">Kavita Agrawal</t>
  </si>
  <si>
    <t xml:space="preserve">CUST-0476</t>
  </si>
  <si>
    <t xml:space="preserve">CUST-1198</t>
  </si>
  <si>
    <t xml:space="preserve">CUST-0807</t>
  </si>
  <si>
    <t xml:space="preserve">Rohan Shah</t>
  </si>
  <si>
    <t xml:space="preserve">CUST-0075</t>
  </si>
  <si>
    <t xml:space="preserve">CUST-0874</t>
  </si>
  <si>
    <t xml:space="preserve">Kavita Malhotra</t>
  </si>
  <si>
    <t xml:space="preserve">CUST-0187</t>
  </si>
  <si>
    <t xml:space="preserve">Pari Shah</t>
  </si>
  <si>
    <t xml:space="preserve">CUST-0580</t>
  </si>
  <si>
    <t xml:space="preserve">Ananya Sharma</t>
  </si>
  <si>
    <t xml:space="preserve">CUST-0974</t>
  </si>
  <si>
    <t xml:space="preserve">Priya Banerjee</t>
  </si>
  <si>
    <t xml:space="preserve">CUST-0305</t>
  </si>
  <si>
    <t xml:space="preserve">Rekha Mishra</t>
  </si>
  <si>
    <t xml:space="preserve">CUST-0169</t>
  </si>
  <si>
    <t xml:space="preserve">CUST-0995</t>
  </si>
  <si>
    <t xml:space="preserve">Aarav Deshmukh</t>
  </si>
  <si>
    <t xml:space="preserve">CUST-0008</t>
  </si>
  <si>
    <t xml:space="preserve">Sunil Shah</t>
  </si>
  <si>
    <t xml:space="preserve">CUST-0608</t>
  </si>
  <si>
    <t xml:space="preserve">CUST-0467</t>
  </si>
  <si>
    <t xml:space="preserve">Arjun Mishra</t>
  </si>
  <si>
    <t xml:space="preserve">CUST-1059</t>
  </si>
  <si>
    <t xml:space="preserve">Aarav Rao</t>
  </si>
  <si>
    <t xml:space="preserve">CUST-0195</t>
  </si>
  <si>
    <t xml:space="preserve">CUST-0002</t>
  </si>
  <si>
    <t xml:space="preserve">CUST-0293</t>
  </si>
  <si>
    <t xml:space="preserve">CUST-0026</t>
  </si>
  <si>
    <t xml:space="preserve">Sanjay Patel</t>
  </si>
  <si>
    <t xml:space="preserve">CUST-0760</t>
  </si>
  <si>
    <t xml:space="preserve">Riya Nair</t>
  </si>
  <si>
    <t xml:space="preserve">CUST-1063</t>
  </si>
  <si>
    <t xml:space="preserve">Manoj Pillai</t>
  </si>
  <si>
    <t xml:space="preserve">CUST-0048</t>
  </si>
  <si>
    <t xml:space="preserve">CUST-1187</t>
  </si>
  <si>
    <t xml:space="preserve">Pari Pandey</t>
  </si>
  <si>
    <t xml:space="preserve">CUST-0130</t>
  </si>
  <si>
    <t xml:space="preserve">Pari Sharma</t>
  </si>
  <si>
    <t xml:space="preserve">CUST-0992</t>
  </si>
  <si>
    <t xml:space="preserve">CUST-0509</t>
  </si>
  <si>
    <t xml:space="preserve">Myra Agrawal</t>
  </si>
  <si>
    <t xml:space="preserve">CUST-0363</t>
  </si>
  <si>
    <t xml:space="preserve">Pari Agrawal</t>
  </si>
  <si>
    <t xml:space="preserve">CUST-0396</t>
  </si>
  <si>
    <t xml:space="preserve">Sunil Reddy</t>
  </si>
  <si>
    <t xml:space="preserve">CUST-0537</t>
  </si>
  <si>
    <t xml:space="preserve">CUST-0224</t>
  </si>
  <si>
    <t xml:space="preserve">Vivaan Chatterjee</t>
  </si>
  <si>
    <t xml:space="preserve">CUST-0851</t>
  </si>
  <si>
    <t xml:space="preserve">Suresh Patel</t>
  </si>
  <si>
    <t xml:space="preserve">CUST-0116</t>
  </si>
  <si>
    <t xml:space="preserve">Ishaan Pandey</t>
  </si>
  <si>
    <t xml:space="preserve">CUST-0672</t>
  </si>
  <si>
    <t xml:space="preserve">Saanvi Sharma</t>
  </si>
  <si>
    <t xml:space="preserve">CUST-0357</t>
  </si>
  <si>
    <t xml:space="preserve">CUST-0524</t>
  </si>
  <si>
    <t xml:space="preserve">CUST-1009</t>
  </si>
  <si>
    <t xml:space="preserve">Isha Pandey</t>
  </si>
  <si>
    <t xml:space="preserve">CUST-0273</t>
  </si>
  <si>
    <t xml:space="preserve">CUST-0722</t>
  </si>
  <si>
    <t xml:space="preserve">Anil Sharma</t>
  </si>
  <si>
    <t xml:space="preserve">CUST-0973</t>
  </si>
  <si>
    <t xml:space="preserve">CUST-0339</t>
  </si>
  <si>
    <t xml:space="preserve">Aarav Bansal</t>
  </si>
  <si>
    <t xml:space="preserve">CUST-0121</t>
  </si>
  <si>
    <t xml:space="preserve">Sanjay Bansal</t>
  </si>
  <si>
    <t xml:space="preserve">CUST-1055</t>
  </si>
  <si>
    <t xml:space="preserve">CUST-0392</t>
  </si>
  <si>
    <t xml:space="preserve">CUST-0444</t>
  </si>
  <si>
    <t xml:space="preserve">Deepak Kulkarni</t>
  </si>
  <si>
    <t xml:space="preserve">CUST-0876</t>
  </si>
  <si>
    <t xml:space="preserve">Amit Menon</t>
  </si>
  <si>
    <t xml:space="preserve">CUST-0658</t>
  </si>
  <si>
    <t xml:space="preserve">Geeta Banerjee</t>
  </si>
  <si>
    <t xml:space="preserve">CUST-0735</t>
  </si>
  <si>
    <t xml:space="preserve">Ayaan Verma</t>
  </si>
  <si>
    <t xml:space="preserve">CUST-0274</t>
  </si>
  <si>
    <t xml:space="preserve">Sneha Deshmukh</t>
  </si>
  <si>
    <t xml:space="preserve">CUST-0649</t>
  </si>
  <si>
    <t xml:space="preserve">CUST-1179</t>
  </si>
  <si>
    <t xml:space="preserve">CUST-0947</t>
  </si>
  <si>
    <t xml:space="preserve">CUST-1014</t>
  </si>
  <si>
    <t xml:space="preserve">Myra Joshi</t>
  </si>
  <si>
    <t xml:space="preserve">CUST-0225</t>
  </si>
  <si>
    <t xml:space="preserve">CUST-0210</t>
  </si>
  <si>
    <t xml:space="preserve">CUST-1188</t>
  </si>
  <si>
    <t xml:space="preserve">CUST-0685</t>
  </si>
  <si>
    <t xml:space="preserve">Riya Mehta</t>
  </si>
  <si>
    <t xml:space="preserve">CUST-0695</t>
  </si>
  <si>
    <t xml:space="preserve">CUST-0427</t>
  </si>
  <si>
    <t xml:space="preserve">Reyansh Rao</t>
  </si>
  <si>
    <t xml:space="preserve">CUST-1082</t>
  </si>
  <si>
    <t xml:space="preserve">Ayaan Pandey</t>
  </si>
  <si>
    <t xml:space="preserve">CUST-0083</t>
  </si>
  <si>
    <t xml:space="preserve">Myra Das</t>
  </si>
  <si>
    <t xml:space="preserve">CUST-0700</t>
  </si>
  <si>
    <t xml:space="preserve">CUST-1112</t>
  </si>
  <si>
    <t xml:space="preserve">Rajesh Pandey</t>
  </si>
  <si>
    <t xml:space="preserve">CUST-0269</t>
  </si>
  <si>
    <t xml:space="preserve">CUST-0414</t>
  </si>
  <si>
    <t xml:space="preserve">Vikram Reddy</t>
  </si>
  <si>
    <t xml:space="preserve">CUST-0497</t>
  </si>
  <si>
    <t xml:space="preserve">CUST-1189</t>
  </si>
  <si>
    <t xml:space="preserve">Rajesh Singh</t>
  </si>
  <si>
    <t xml:space="preserve">CUST-0589</t>
  </si>
  <si>
    <t xml:space="preserve">CUST-0381</t>
  </si>
  <si>
    <t xml:space="preserve">Priya Nair</t>
  </si>
  <si>
    <t xml:space="preserve">CUST-0620</t>
  </si>
  <si>
    <t xml:space="preserve">CUST-0519</t>
  </si>
  <si>
    <t xml:space="preserve">Saanvi Rao</t>
  </si>
  <si>
    <t xml:space="preserve">CUST-0680</t>
  </si>
  <si>
    <t xml:space="preserve">Navya Yadav</t>
  </si>
  <si>
    <t xml:space="preserve">CUST-0024</t>
  </si>
  <si>
    <t xml:space="preserve">CUST-0488</t>
  </si>
  <si>
    <t xml:space="preserve">CUST-1174</t>
  </si>
  <si>
    <t xml:space="preserve">Rekha Chatterjee</t>
  </si>
  <si>
    <t xml:space="preserve">CUST-0228</t>
  </si>
  <si>
    <t xml:space="preserve">Saanvi Gupta</t>
  </si>
  <si>
    <t xml:space="preserve">CUST-0827</t>
  </si>
  <si>
    <t xml:space="preserve">Priya Choudhury</t>
  </si>
  <si>
    <t xml:space="preserve">CUST-0659</t>
  </si>
  <si>
    <t xml:space="preserve">CUST-0191</t>
  </si>
  <si>
    <t xml:space="preserve">CUST-0072</t>
  </si>
  <si>
    <t xml:space="preserve">CUST-0885</t>
  </si>
  <si>
    <t xml:space="preserve">Saanvi Singh</t>
  </si>
  <si>
    <t xml:space="preserve">CUST-0586</t>
  </si>
  <si>
    <t xml:space="preserve">Anil Bhatia</t>
  </si>
  <si>
    <t xml:space="preserve">CUST-0388</t>
  </si>
  <si>
    <t xml:space="preserve">Isha Bhatia</t>
  </si>
  <si>
    <t xml:space="preserve">CUST-0842</t>
  </si>
  <si>
    <t xml:space="preserve">Neha Garg</t>
  </si>
  <si>
    <t xml:space="preserve">CUST-1107</t>
  </si>
  <si>
    <t xml:space="preserve">Suresh Das</t>
  </si>
  <si>
    <t xml:space="preserve">CUST-0794</t>
  </si>
  <si>
    <t xml:space="preserve">CUST-0866</t>
  </si>
  <si>
    <t xml:space="preserve">Amit Pillai</t>
  </si>
  <si>
    <t xml:space="preserve">CUST-0055</t>
  </si>
  <si>
    <t xml:space="preserve">Krishna Kulkarni</t>
  </si>
  <si>
    <t xml:space="preserve">CUST-0247</t>
  </si>
  <si>
    <t xml:space="preserve">CUST-0425</t>
  </si>
  <si>
    <t xml:space="preserve">Reyansh Singh</t>
  </si>
  <si>
    <t xml:space="preserve">CUST-0358</t>
  </si>
  <si>
    <t xml:space="preserve">Manoj Bansal</t>
  </si>
  <si>
    <t xml:space="preserve">CUST-0660</t>
  </si>
  <si>
    <t xml:space="preserve">CUST-1158</t>
  </si>
  <si>
    <t xml:space="preserve">CUST-0551</t>
  </si>
  <si>
    <t xml:space="preserve">CUST-0056</t>
  </si>
  <si>
    <t xml:space="preserve">Ananya Shah</t>
  </si>
  <si>
    <t xml:space="preserve">CUST-0518</t>
  </si>
  <si>
    <t xml:space="preserve">CUST-0164</t>
  </si>
  <si>
    <t xml:space="preserve">Diya Menon</t>
  </si>
  <si>
    <t xml:space="preserve">CUST-0487</t>
  </si>
  <si>
    <t xml:space="preserve">CUST-0599</t>
  </si>
  <si>
    <t xml:space="preserve">Pari Malhotra</t>
  </si>
  <si>
    <t xml:space="preserve">CUST-0719</t>
  </si>
  <si>
    <t xml:space="preserve">CUST-0583</t>
  </si>
  <si>
    <t xml:space="preserve">CUST-0720</t>
  </si>
  <si>
    <t xml:space="preserve">Navya Choudhury</t>
  </si>
  <si>
    <t xml:space="preserve">CUST-0533</t>
  </si>
  <si>
    <t xml:space="preserve">CUST-1092</t>
  </si>
  <si>
    <t xml:space="preserve">Reyansh Banerjee</t>
  </si>
  <si>
    <t xml:space="preserve">CUST-0832</t>
  </si>
  <si>
    <t xml:space="preserve">CUST-0950</t>
  </si>
  <si>
    <t xml:space="preserve">CUST-0666</t>
  </si>
  <si>
    <t xml:space="preserve">Vivaan Yadav</t>
  </si>
  <si>
    <t xml:space="preserve">CUST-0001</t>
  </si>
  <si>
    <t xml:space="preserve">CUST-0167</t>
  </si>
  <si>
    <t xml:space="preserve">Geeta Pandey</t>
  </si>
  <si>
    <t xml:space="preserve">CUST-0186</t>
  </si>
  <si>
    <t xml:space="preserve">CUST-1034</t>
  </si>
  <si>
    <t xml:space="preserve">Diya Malhotra</t>
  </si>
  <si>
    <t xml:space="preserve">CUST-0892</t>
  </si>
  <si>
    <t xml:space="preserve">CUST-0434</t>
  </si>
  <si>
    <t xml:space="preserve">CUST-0603</t>
  </si>
  <si>
    <t xml:space="preserve">CUST-1013</t>
  </si>
  <si>
    <t xml:space="preserve">CUST-1156</t>
  </si>
  <si>
    <t xml:space="preserve">CUST-0673</t>
  </si>
  <si>
    <t xml:space="preserve">Vikram Bhatia</t>
  </si>
  <si>
    <t xml:space="preserve">CUST-0205</t>
  </si>
  <si>
    <t xml:space="preserve">CUST-0063</t>
  </si>
  <si>
    <t xml:space="preserve">CUST-0104</t>
  </si>
  <si>
    <t xml:space="preserve">Geeta Sharma</t>
  </si>
  <si>
    <t xml:space="preserve">CUST-0686</t>
  </si>
  <si>
    <t xml:space="preserve">CUST-0982</t>
  </si>
  <si>
    <t xml:space="preserve">Vihaan Verma</t>
  </si>
  <si>
    <t xml:space="preserve">CUST-0516</t>
  </si>
  <si>
    <t xml:space="preserve">CUST-0319</t>
  </si>
  <si>
    <t xml:space="preserve">CUST-1190</t>
  </si>
  <si>
    <t xml:space="preserve">CUST-0732</t>
  </si>
  <si>
    <t xml:space="preserve">CUST-0226</t>
  </si>
  <si>
    <t xml:space="preserve">Navya Reddy</t>
  </si>
  <si>
    <t xml:space="preserve">CUST-0348</t>
  </si>
  <si>
    <t xml:space="preserve">Neha Shah</t>
  </si>
  <si>
    <t xml:space="preserve">CUST-1012</t>
  </si>
  <si>
    <t xml:space="preserve">CUST-0923</t>
  </si>
  <si>
    <t xml:space="preserve">CUST-0691</t>
  </si>
  <si>
    <t xml:space="preserve">CUST-0644</t>
  </si>
  <si>
    <t xml:space="preserve">Myra Chatterjee</t>
  </si>
  <si>
    <t xml:space="preserve">CUST-1106</t>
  </si>
  <si>
    <t xml:space="preserve">Anita Patel</t>
  </si>
  <si>
    <t xml:space="preserve">CUST-0208</t>
  </si>
  <si>
    <t xml:space="preserve">CUST-0054</t>
  </si>
  <si>
    <t xml:space="preserve">Arjun Pillai</t>
  </si>
  <si>
    <t xml:space="preserve">CUST-0039</t>
  </si>
  <si>
    <t xml:space="preserve">Rekha Banerjee</t>
  </si>
  <si>
    <t xml:space="preserve">CUST-0572</t>
  </si>
  <si>
    <t xml:space="preserve">CUST-1119</t>
  </si>
  <si>
    <t xml:space="preserve">Ananya Malhotra</t>
  </si>
  <si>
    <t xml:space="preserve">CUST-0609</t>
  </si>
  <si>
    <t xml:space="preserve">Sunil Iyer</t>
  </si>
  <si>
    <t xml:space="preserve">CUST-0145</t>
  </si>
  <si>
    <t xml:space="preserve">CUST-0949</t>
  </si>
  <si>
    <t xml:space="preserve">Sanjay Mishra</t>
  </si>
  <si>
    <t xml:space="preserve">CUST-0937</t>
  </si>
  <si>
    <t xml:space="preserve">Diya Pandey</t>
  </si>
  <si>
    <t xml:space="preserve">CUST-1129</t>
  </si>
  <si>
    <t xml:space="preserve">Rekha Patel</t>
  </si>
  <si>
    <t xml:space="preserve">CUST-0987</t>
  </si>
  <si>
    <t xml:space="preserve">CUST-0027</t>
  </si>
  <si>
    <t xml:space="preserve">CUST-1025</t>
  </si>
  <si>
    <t xml:space="preserve">CUST-1108</t>
  </si>
  <si>
    <t xml:space="preserve">Rajesh Verma</t>
  </si>
  <si>
    <t xml:space="preserve">CUST-0139</t>
  </si>
  <si>
    <t xml:space="preserve">Saanvi Shah</t>
  </si>
  <si>
    <t xml:space="preserve">CUST-0412</t>
  </si>
  <si>
    <t xml:space="preserve">Sanjay Patil</t>
  </si>
  <si>
    <t xml:space="preserve">CUST-0566</t>
  </si>
  <si>
    <t xml:space="preserve">CUST-0840</t>
  </si>
  <si>
    <t xml:space="preserve">Diya Garg</t>
  </si>
  <si>
    <t xml:space="preserve">CUST-0079</t>
  </si>
  <si>
    <t xml:space="preserve">Ananya Das</t>
  </si>
  <si>
    <t xml:space="preserve">CUST-0198</t>
  </si>
  <si>
    <t xml:space="preserve">Vivaan Patil</t>
  </si>
  <si>
    <t xml:space="preserve">CUST-0890</t>
  </si>
  <si>
    <t xml:space="preserve">CUST-0894</t>
  </si>
  <si>
    <t xml:space="preserve">Vikram Pandey</t>
  </si>
  <si>
    <t xml:space="preserve">CUST-0094</t>
  </si>
  <si>
    <t xml:space="preserve">Sunil Singh</t>
  </si>
  <si>
    <t xml:space="preserve">CUST-1175</t>
  </si>
  <si>
    <t xml:space="preserve">Vivaan Nair</t>
  </si>
  <si>
    <t xml:space="preserve">CUST-1196</t>
  </si>
  <si>
    <t xml:space="preserve">CUST-0593</t>
  </si>
  <si>
    <t xml:space="preserve">CUST-0204</t>
  </si>
  <si>
    <t xml:space="preserve">Navya Pillai</t>
  </si>
  <si>
    <t xml:space="preserve">CUST-0504</t>
  </si>
  <si>
    <t xml:space="preserve">CUST-0471</t>
  </si>
  <si>
    <t xml:space="preserve">CUST-0690</t>
  </si>
  <si>
    <t xml:space="preserve">CUST-0916</t>
  </si>
  <si>
    <t xml:space="preserve">Ananya Reddy</t>
  </si>
  <si>
    <t xml:space="preserve">CUST-1066</t>
  </si>
  <si>
    <t xml:space="preserve">Aarav Reddy</t>
  </si>
  <si>
    <t xml:space="preserve">CUST-0912</t>
  </si>
  <si>
    <t xml:space="preserve">CUST-0657</t>
  </si>
  <si>
    <t xml:space="preserve">CUST-0129</t>
  </si>
  <si>
    <t xml:space="preserve">CUST-1087</t>
  </si>
  <si>
    <t xml:space="preserve">CUST-0034</t>
  </si>
  <si>
    <t xml:space="preserve">Sunil Choudhury</t>
  </si>
  <si>
    <t xml:space="preserve">CUST-1027</t>
  </si>
  <si>
    <t xml:space="preserve">CUST-0932</t>
  </si>
  <si>
    <t xml:space="preserve">Ayaan Patel</t>
  </si>
  <si>
    <t xml:space="preserve">CUST-0472</t>
  </si>
  <si>
    <t xml:space="preserve">CUST-0553</t>
  </si>
  <si>
    <t xml:space="preserve">CUST-0181</t>
  </si>
  <si>
    <t xml:space="preserve">Amit Bansal</t>
  </si>
  <si>
    <t xml:space="preserve">CUST-0415</t>
  </si>
  <si>
    <t xml:space="preserve">Neha Das</t>
  </si>
  <si>
    <t xml:space="preserve">CUST-1011</t>
  </si>
  <si>
    <t xml:space="preserve">CUST-0279</t>
  </si>
  <si>
    <t xml:space="preserve">Sunil Sharma</t>
  </si>
  <si>
    <t xml:space="preserve">CUST-1085</t>
  </si>
  <si>
    <t xml:space="preserve">CUST-0869</t>
  </si>
  <si>
    <t xml:space="preserve">CUST-0135</t>
  </si>
  <si>
    <t xml:space="preserve">Diya Singh</t>
  </si>
  <si>
    <t xml:space="preserve">CUST-0540</t>
  </si>
  <si>
    <t xml:space="preserve">CUST-0783</t>
  </si>
  <si>
    <t xml:space="preserve">Aadhya Reddy</t>
  </si>
  <si>
    <t xml:space="preserve">CUST-1084</t>
  </si>
  <si>
    <t xml:space="preserve">Ayaan Gupta</t>
  </si>
  <si>
    <t xml:space="preserve">CUST-0176</t>
  </si>
  <si>
    <t xml:space="preserve">CUST-0284</t>
  </si>
  <si>
    <t xml:space="preserve">CUST-0709</t>
  </si>
  <si>
    <t xml:space="preserve">CUST-0380</t>
  </si>
  <si>
    <t xml:space="preserve">CUST-0514</t>
  </si>
  <si>
    <t xml:space="preserve">CUST-0091</t>
  </si>
  <si>
    <t xml:space="preserve">Neha Malhotra</t>
  </si>
  <si>
    <t xml:space="preserve">CUST-0192</t>
  </si>
  <si>
    <t xml:space="preserve">Vivaan Gupta</t>
  </si>
  <si>
    <t xml:space="preserve">CUST-0880</t>
  </si>
  <si>
    <t xml:space="preserve">CUST-1116</t>
  </si>
  <si>
    <t xml:space="preserve">Vivaan Bansal</t>
  </si>
  <si>
    <t xml:space="preserve">CUST-0626</t>
  </si>
  <si>
    <t xml:space="preserve">CUST-0957</t>
  </si>
  <si>
    <t xml:space="preserve">CUST-0759</t>
  </si>
  <si>
    <t xml:space="preserve">CUST-0845</t>
  </si>
  <si>
    <t xml:space="preserve">Rohan Choudhury</t>
  </si>
  <si>
    <t xml:space="preserve">CUST-0123</t>
  </si>
  <si>
    <t xml:space="preserve">CUST-0604</t>
  </si>
  <si>
    <t xml:space="preserve">Sneha Choudhury</t>
  </si>
  <si>
    <t xml:space="preserve">CUST-0159</t>
  </si>
  <si>
    <t xml:space="preserve">Kavita Das</t>
  </si>
  <si>
    <t xml:space="preserve">CUST-0731</t>
  </si>
  <si>
    <t xml:space="preserve">Manoj Menon</t>
  </si>
  <si>
    <t xml:space="preserve">CUST-0237</t>
  </si>
  <si>
    <t xml:space="preserve">CUST-0324</t>
  </si>
  <si>
    <t xml:space="preserve">CUST-0975</t>
  </si>
  <si>
    <t xml:space="preserve">CUST-1170</t>
  </si>
  <si>
    <t xml:space="preserve">Sneha Patel</t>
  </si>
  <si>
    <t xml:space="preserve">CUST-0389</t>
  </si>
  <si>
    <t xml:space="preserve">Aadhya Gupta</t>
  </si>
  <si>
    <t xml:space="preserve">CUST-0141</t>
  </si>
  <si>
    <t xml:space="preserve">CUST-0131</t>
  </si>
  <si>
    <t xml:space="preserve">CUST-1153</t>
  </si>
  <si>
    <t xml:space="preserve">Pooja Shah</t>
  </si>
  <si>
    <t xml:space="preserve">CUST-0943</t>
  </si>
  <si>
    <t xml:space="preserve">CUST-0007</t>
  </si>
  <si>
    <t xml:space="preserve">CUST-0318</t>
  </si>
  <si>
    <t xml:space="preserve">CUST-0776</t>
  </si>
  <si>
    <t xml:space="preserve">Vikram Das</t>
  </si>
  <si>
    <t xml:space="preserve">CUST-1037</t>
  </si>
  <si>
    <t xml:space="preserve">CUST-0654</t>
  </si>
  <si>
    <t xml:space="preserve">CUST-0111</t>
  </si>
  <si>
    <t xml:space="preserve">CUST-1160</t>
  </si>
  <si>
    <t xml:space="preserve">Aditya Mehta</t>
  </si>
  <si>
    <t xml:space="preserve">CUST-0221</t>
  </si>
  <si>
    <t xml:space="preserve">CUST-0422</t>
  </si>
  <si>
    <t xml:space="preserve">Ayaan Das</t>
  </si>
  <si>
    <t xml:space="preserve">CUST-0156</t>
  </si>
  <si>
    <t xml:space="preserve">CUST-0032</t>
  </si>
  <si>
    <t xml:space="preserve">Isha Patil</t>
  </si>
  <si>
    <t xml:space="preserve">CUST-0552</t>
  </si>
  <si>
    <t xml:space="preserve">Aditya Joshi</t>
  </si>
  <si>
    <t xml:space="preserve">CUST-0138</t>
  </si>
  <si>
    <t xml:space="preserve">Ayaan Choudhury</t>
  </si>
  <si>
    <t xml:space="preserve">CUST-1056</t>
  </si>
  <si>
    <t xml:space="preserve">CUST-0646</t>
  </si>
  <si>
    <t xml:space="preserve">Reyansh Das</t>
  </si>
  <si>
    <t xml:space="preserve">CUST-0835</t>
  </si>
  <si>
    <t xml:space="preserve">CUST-0105</t>
  </si>
  <si>
    <t xml:space="preserve">CUST-0428</t>
  </si>
  <si>
    <t xml:space="preserve">CUST-0336</t>
  </si>
  <si>
    <t xml:space="preserve">Isha Chatterjee</t>
  </si>
  <si>
    <t xml:space="preserve">CUST-0320</t>
  </si>
  <si>
    <t xml:space="preserve">Aarav Patil</t>
  </si>
  <si>
    <t xml:space="preserve">CUST-0574</t>
  </si>
  <si>
    <t xml:space="preserve">CUST-0562</t>
  </si>
  <si>
    <t xml:space="preserve">CUST-1111</t>
  </si>
  <si>
    <t xml:space="preserve">CUST-0525</t>
  </si>
  <si>
    <t xml:space="preserve">Reyansh Deshmukh</t>
  </si>
  <si>
    <t xml:space="preserve">CUST-0728</t>
  </si>
  <si>
    <t xml:space="preserve">CUST-0491</t>
  </si>
  <si>
    <t xml:space="preserve">Deepak Mishra</t>
  </si>
  <si>
    <t xml:space="preserve">CUST-0843</t>
  </si>
  <si>
    <t xml:space="preserve">Ananya Singh</t>
  </si>
  <si>
    <t xml:space="preserve">CUST-1062</t>
  </si>
  <si>
    <t xml:space="preserve">Suresh Pillai</t>
  </si>
  <si>
    <t xml:space="preserve">CUST-0592</t>
  </si>
  <si>
    <t xml:space="preserve">Suresh Nair</t>
  </si>
  <si>
    <t xml:space="preserve">CUST-0196</t>
  </si>
  <si>
    <t xml:space="preserve">CUST-0707</t>
  </si>
  <si>
    <t xml:space="preserve">Aditya Sharma</t>
  </si>
  <si>
    <t xml:space="preserve">CUST-0337</t>
  </si>
  <si>
    <t xml:space="preserve">CUST-1136</t>
  </si>
  <si>
    <t xml:space="preserve">CUST-0106</t>
  </si>
  <si>
    <t xml:space="preserve">CUST-1195</t>
  </si>
  <si>
    <t xml:space="preserve">CUST-0630</t>
  </si>
  <si>
    <t xml:space="preserve">CUST-0011</t>
  </si>
  <si>
    <t xml:space="preserve">CUST-0306</t>
  </si>
  <si>
    <t xml:space="preserve">Arjun Shah</t>
  </si>
  <si>
    <t xml:space="preserve">CUST-0800</t>
  </si>
  <si>
    <t xml:space="preserve">CUST-0668</t>
  </si>
  <si>
    <t xml:space="preserve">CUST-0352</t>
  </si>
  <si>
    <t xml:space="preserve">CUST-0687</t>
  </si>
  <si>
    <t xml:space="preserve">CUST-1197</t>
  </si>
  <si>
    <t xml:space="preserve">CUST-0679</t>
  </si>
  <si>
    <t xml:space="preserve">Manoj Reddy</t>
  </si>
  <si>
    <t xml:space="preserve">CUST-0917</t>
  </si>
  <si>
    <t xml:space="preserve">Kavita Patel</t>
  </si>
  <si>
    <t xml:space="preserve">CUST-0124</t>
  </si>
  <si>
    <t xml:space="preserve">Vikram Sharma</t>
  </si>
  <si>
    <t xml:space="preserve">CUST-0386</t>
  </si>
  <si>
    <t xml:space="preserve">Sai Kulkarni</t>
  </si>
  <si>
    <t xml:space="preserve">CUST-1078</t>
  </si>
  <si>
    <t xml:space="preserve">Rahul Banerjee</t>
  </si>
  <si>
    <t xml:space="preserve">CUST-0227</t>
  </si>
  <si>
    <t xml:space="preserve">Riya Pandey</t>
  </si>
  <si>
    <t xml:space="preserve">CUST-0708</t>
  </si>
  <si>
    <t xml:space="preserve">Rekha Malhotra</t>
  </si>
  <si>
    <t xml:space="preserve">CUST-0988</t>
  </si>
  <si>
    <t xml:space="preserve">CUST-0494</t>
  </si>
  <si>
    <t xml:space="preserve">CUST-0918</t>
  </si>
  <si>
    <t xml:space="preserve">CUST-0978</t>
  </si>
  <si>
    <t xml:space="preserve">Neha Nair</t>
  </si>
  <si>
    <t xml:space="preserve">CUST-1072</t>
  </si>
  <si>
    <t xml:space="preserve">CUST-0376</t>
  </si>
  <si>
    <t xml:space="preserve">CUST-1167</t>
  </si>
  <si>
    <t xml:space="preserve">CUST-0702</t>
  </si>
  <si>
    <t xml:space="preserve">CUST-0818</t>
  </si>
  <si>
    <t xml:space="preserve">CUST-0751</t>
  </si>
  <si>
    <t xml:space="preserve">CUST-0969</t>
  </si>
  <si>
    <t xml:space="preserve">CUST-0678</t>
  </si>
  <si>
    <t xml:space="preserve">CUST-0202</t>
  </si>
  <si>
    <t xml:space="preserve">CUST-0367</t>
  </si>
  <si>
    <t xml:space="preserve">Kavita Rao</t>
  </si>
  <si>
    <t xml:space="preserve">CUST-0616</t>
  </si>
  <si>
    <t xml:space="preserve">CUST-0308</t>
  </si>
  <si>
    <t xml:space="preserve">Riya Kumar</t>
  </si>
  <si>
    <t xml:space="preserve">CUST-0651</t>
  </si>
  <si>
    <t xml:space="preserve">Deepak Pillai</t>
  </si>
  <si>
    <t xml:space="preserve">CUST-0643</t>
  </si>
  <si>
    <t xml:space="preserve">Sunil Rao</t>
  </si>
  <si>
    <t xml:space="preserve">CUST-0233</t>
  </si>
  <si>
    <t xml:space="preserve">CUST-0579</t>
  </si>
  <si>
    <t xml:space="preserve">Neha Rao</t>
  </si>
  <si>
    <t xml:space="preserve">CUST-0819</t>
  </si>
  <si>
    <t xml:space="preserve">Sanjay Das</t>
  </si>
  <si>
    <t xml:space="preserve">CUST-1199</t>
  </si>
  <si>
    <t xml:space="preserve">Sai Choudhury</t>
  </si>
  <si>
    <t xml:space="preserve">CUST-0598</t>
  </si>
  <si>
    <t xml:space="preserve">CUST-0945</t>
  </si>
  <si>
    <t xml:space="preserve">Vivaan Menon</t>
  </si>
  <si>
    <t xml:space="preserve">CUST-1075</t>
  </si>
  <si>
    <t xml:space="preserve">Vihaan Das</t>
  </si>
  <si>
    <t xml:space="preserve">CUST-0281</t>
  </si>
  <si>
    <t xml:space="preserve">Rajesh Mishra</t>
  </si>
  <si>
    <t xml:space="preserve">CUST-1152</t>
  </si>
  <si>
    <t xml:space="preserve">Aadhya Patel</t>
  </si>
  <si>
    <t xml:space="preserve">CUST-0292</t>
  </si>
  <si>
    <t xml:space="preserve">Saanvi Mishra</t>
  </si>
  <si>
    <t xml:space="preserve">CUST-0663</t>
  </si>
  <si>
    <t xml:space="preserve">CUST-0850</t>
  </si>
  <si>
    <t xml:space="preserve">Vivaan Joshi</t>
  </si>
  <si>
    <t xml:space="preserve">CUST-0014</t>
  </si>
  <si>
    <t xml:space="preserve">Manoj Malhotra</t>
  </si>
  <si>
    <t xml:space="preserve">CUST-0862</t>
  </si>
  <si>
    <t xml:space="preserve">Meena Das</t>
  </si>
  <si>
    <t xml:space="preserve">CUST-0928</t>
  </si>
  <si>
    <t xml:space="preserve">Sunil Malhotra</t>
  </si>
  <si>
    <t xml:space="preserve">CUST-1088</t>
  </si>
  <si>
    <t xml:space="preserve">Pooja Choudhury</t>
  </si>
  <si>
    <t xml:space="preserve">CUST-0165</t>
  </si>
  <si>
    <t xml:space="preserve">CUST-0064</t>
  </si>
  <si>
    <t xml:space="preserve">CUST-1173</t>
  </si>
  <si>
    <t xml:space="preserve">Sunita Gupta</t>
  </si>
  <si>
    <t xml:space="preserve">CUST-0581</t>
  </si>
  <si>
    <t xml:space="preserve">CUST-0432</t>
  </si>
  <si>
    <t xml:space="preserve">CUST-0006</t>
  </si>
  <si>
    <t xml:space="preserve">CUST-1132</t>
  </si>
  <si>
    <t xml:space="preserve">CUST-0953</t>
  </si>
  <si>
    <t xml:space="preserve">Reyansh Patil</t>
  </si>
  <si>
    <t xml:space="preserve">CUST-0445</t>
  </si>
  <si>
    <t xml:space="preserve">CUST-0897</t>
  </si>
  <si>
    <t xml:space="preserve">Pooja Iyer</t>
  </si>
  <si>
    <t xml:space="preserve">CUST-0808</t>
  </si>
  <si>
    <t xml:space="preserve">Suresh Banerjee</t>
  </si>
  <si>
    <t xml:space="preserve">CUST-0252</t>
  </si>
  <si>
    <t xml:space="preserve">CUST-0536</t>
  </si>
  <si>
    <t xml:space="preserve">CUST-0597</t>
  </si>
  <si>
    <t xml:space="preserve">CUST-0463</t>
  </si>
  <si>
    <t xml:space="preserve">CUST-1099</t>
  </si>
  <si>
    <t xml:space="preserve">Rohan Malhotra</t>
  </si>
  <si>
    <t xml:space="preserve">CUST-0126</t>
  </si>
  <si>
    <t xml:space="preserve">CUST-0713</t>
  </si>
  <si>
    <t xml:space="preserve">Navya Deshmukh</t>
  </si>
  <si>
    <t xml:space="preserve">CUST-0449</t>
  </si>
  <si>
    <t xml:space="preserve">Sneha Verma</t>
  </si>
  <si>
    <t xml:space="preserve">CUST-0298</t>
  </si>
  <si>
    <t xml:space="preserve">Ananya Mehta</t>
  </si>
  <si>
    <t xml:space="preserve">CUST-0406</t>
  </si>
  <si>
    <t xml:space="preserve">CUST-0462</t>
  </si>
  <si>
    <t xml:space="preserve">Kavita Kumar</t>
  </si>
  <si>
    <t xml:space="preserve">CUST-1051</t>
  </si>
  <si>
    <t xml:space="preserve">CUST-0313</t>
  </si>
  <si>
    <t xml:space="preserve">CUST-1070</t>
  </si>
  <si>
    <t xml:space="preserve">Riya Gupta</t>
  </si>
  <si>
    <t xml:space="preserve">CUST-0096</t>
  </si>
  <si>
    <t xml:space="preserve">CUST-1015</t>
  </si>
  <si>
    <t xml:space="preserve">Suresh Choudhury</t>
  </si>
  <si>
    <t xml:space="preserve">CUST-0260</t>
  </si>
  <si>
    <t xml:space="preserve">CUST-0676</t>
  </si>
  <si>
    <t xml:space="preserve">CUST-0772</t>
  </si>
  <si>
    <t xml:space="preserve">Riya Verma</t>
  </si>
  <si>
    <t xml:space="preserve">CUST-0431</t>
  </si>
  <si>
    <t xml:space="preserve">CUST-1128</t>
  </si>
  <si>
    <t xml:space="preserve">CUST-0515</t>
  </si>
  <si>
    <t xml:space="preserve">CUST-0743</t>
  </si>
  <si>
    <t xml:space="preserve">CUST-0328</t>
  </si>
  <si>
    <t xml:space="preserve">CUST-0329</t>
  </si>
  <si>
    <t xml:space="preserve">CUST-0436</t>
  </si>
  <si>
    <t xml:space="preserve">CUST-0931</t>
  </si>
  <si>
    <t xml:space="preserve">CUST-0938</t>
  </si>
  <si>
    <t xml:space="preserve">Myra Bhatia</t>
  </si>
  <si>
    <t xml:space="preserve">CUST-1086</t>
  </si>
  <si>
    <t xml:space="preserve">CUST-1053</t>
  </si>
  <si>
    <t xml:space="preserve">CUST-0860</t>
  </si>
  <si>
    <t xml:space="preserve">CUST-0611</t>
  </si>
  <si>
    <t xml:space="preserve">Ayaan Mishra</t>
  </si>
  <si>
    <t xml:space="preserve">CUST-1046</t>
  </si>
  <si>
    <t xml:space="preserve">CUST-0239</t>
  </si>
  <si>
    <t xml:space="preserve">CUST-0236</t>
  </si>
  <si>
    <t xml:space="preserve">Rohan Rao</t>
  </si>
  <si>
    <t xml:space="preserve">CUST-0018</t>
  </si>
  <si>
    <t xml:space="preserve">Aditya Kulkarni</t>
  </si>
  <si>
    <t xml:space="preserve">CUST-0981</t>
  </si>
  <si>
    <t xml:space="preserve">Anil Agrawal</t>
  </si>
  <si>
    <t xml:space="preserve">CUST-0479</t>
  </si>
  <si>
    <t xml:space="preserve">Riya Singh</t>
  </si>
  <si>
    <t xml:space="preserve">CUST-0704</t>
  </si>
  <si>
    <t xml:space="preserve">Diya Das</t>
  </si>
  <si>
    <t xml:space="preserve">CUST-0773</t>
  </si>
  <si>
    <t xml:space="preserve">Diya Joshi</t>
  </si>
  <si>
    <t xml:space="preserve">CUST-0624</t>
  </si>
  <si>
    <t xml:space="preserve">Vikram Yadav</t>
  </si>
  <si>
    <t xml:space="preserve">CUST-0664</t>
  </si>
  <si>
    <t xml:space="preserve">Priya Reddy</t>
  </si>
  <si>
    <t xml:space="preserve">CUST-1122</t>
  </si>
  <si>
    <t xml:space="preserve">CUST-0857</t>
  </si>
  <si>
    <t xml:space="preserve">Ishaan Patil</t>
  </si>
  <si>
    <t xml:space="preserve">CUST-0996</t>
  </si>
  <si>
    <t xml:space="preserve">Sunita Deshmukh</t>
  </si>
  <si>
    <t xml:space="preserve">CUST-0440</t>
  </si>
  <si>
    <t xml:space="preserve">CUST-0404</t>
  </si>
  <si>
    <t xml:space="preserve">Sunita Kulkarni</t>
  </si>
  <si>
    <t xml:space="preserve">CUST-0767</t>
  </si>
  <si>
    <t xml:space="preserve">CUST-0383</t>
  </si>
  <si>
    <t xml:space="preserve">CUST-0847</t>
  </si>
  <si>
    <t xml:space="preserve">CUST-0112</t>
  </si>
  <si>
    <t xml:space="preserve">CUST-1040</t>
  </si>
  <si>
    <t xml:space="preserve">Riya Mishra</t>
  </si>
  <si>
    <t xml:space="preserve">CUST-0511</t>
  </si>
  <si>
    <t xml:space="preserve">CUST-0291</t>
  </si>
  <si>
    <t xml:space="preserve">CUST-0280</t>
  </si>
  <si>
    <t xml:space="preserve">CUST-1180</t>
  </si>
  <si>
    <t xml:space="preserve">Diya Rao</t>
  </si>
  <si>
    <t xml:space="preserve">CUST-0532</t>
  </si>
  <si>
    <t xml:space="preserve">CUST-1005</t>
  </si>
  <si>
    <t xml:space="preserve">CUST-0778</t>
  </si>
  <si>
    <t xml:space="preserve">CUST-0744</t>
  </si>
  <si>
    <t xml:space="preserve">Navya Kumar</t>
  </si>
  <si>
    <t xml:space="preserve">CUST-0023</t>
  </si>
  <si>
    <t xml:space="preserve">Arjun Yadav</t>
  </si>
  <si>
    <t xml:space="preserve">CUST-0942</t>
  </si>
  <si>
    <t xml:space="preserve">CUST-0526</t>
  </si>
  <si>
    <t xml:space="preserve">CUST-0726</t>
  </si>
  <si>
    <t xml:space="preserve">CUST-1181</t>
  </si>
  <si>
    <t xml:space="preserve">CUST-0723</t>
  </si>
  <si>
    <t xml:space="preserve">Priya Deshmukh</t>
  </si>
  <si>
    <t xml:space="preserve">CUST-0301</t>
  </si>
  <si>
    <t xml:space="preserve">CUST-0088</t>
  </si>
  <si>
    <t xml:space="preserve">Geeta Iyer</t>
  </si>
  <si>
    <t xml:space="preserve">CUST-0170</t>
  </si>
  <si>
    <t xml:space="preserve">Deepak Bansal</t>
  </si>
  <si>
    <t xml:space="preserve">CUST-0855</t>
  </si>
  <si>
    <t xml:space="preserve">Arjun Gupta</t>
  </si>
  <si>
    <t xml:space="preserve">CUST-0570</t>
  </si>
  <si>
    <t xml:space="preserve">CUST-0338</t>
  </si>
  <si>
    <t xml:space="preserve">CUST-0374</t>
  </si>
  <si>
    <t xml:space="preserve">CUST-0189</t>
  </si>
  <si>
    <t xml:space="preserve">Neha Patil</t>
  </si>
  <si>
    <t xml:space="preserve">CUST-0346</t>
  </si>
  <si>
    <t xml:space="preserve">Pooja Singh</t>
  </si>
  <si>
    <t xml:space="preserve">CUST-0350</t>
  </si>
  <si>
    <t xml:space="preserve">CUST-0871</t>
  </si>
  <si>
    <t xml:space="preserve">Vikram Mehta</t>
  </si>
  <si>
    <t xml:space="preserve">CUST-0993</t>
  </si>
  <si>
    <t xml:space="preserve">Arjun Bhatia</t>
  </si>
  <si>
    <t xml:space="preserve">CUST-0403</t>
  </si>
  <si>
    <t xml:space="preserve">Vivaan Verma</t>
  </si>
  <si>
    <t xml:space="preserve">CUST-0507</t>
  </si>
  <si>
    <t xml:space="preserve">CUST-0256</t>
  </si>
  <si>
    <t xml:space="preserve">CUST-0748</t>
  </si>
  <si>
    <t xml:space="preserve">CUST-0040</t>
  </si>
  <si>
    <t xml:space="preserve">Sanjay Agrawal</t>
  </si>
  <si>
    <t xml:space="preserve">CUST-0785</t>
  </si>
  <si>
    <t xml:space="preserve">CUST-1008</t>
  </si>
  <si>
    <t xml:space="preserve">CUST-0535</t>
  </si>
  <si>
    <t xml:space="preserve">CUST-0439</t>
  </si>
  <si>
    <t xml:space="preserve">CUST-0781</t>
  </si>
  <si>
    <t xml:space="preserve">CUST-0283</t>
  </si>
  <si>
    <t xml:space="preserve">Suresh Gupta</t>
  </si>
  <si>
    <t xml:space="preserve">CUST-0364</t>
  </si>
  <si>
    <t xml:space="preserve">Neha Agrawal</t>
  </si>
  <si>
    <t xml:space="preserve">CUST-0754</t>
  </si>
  <si>
    <t xml:space="preserve">Ayaan Iyer</t>
  </si>
  <si>
    <t xml:space="preserve">CUST-0240</t>
  </si>
  <si>
    <t xml:space="preserve">Diya Nair</t>
  </si>
  <si>
    <t xml:space="preserve">CUST-0296</t>
  </si>
  <si>
    <t xml:space="preserve">CUST-0669</t>
  </si>
  <si>
    <t xml:space="preserve">CUST-0710</t>
  </si>
  <si>
    <t xml:space="preserve">Geeta Chatterjee</t>
  </si>
  <si>
    <t xml:space="preserve">CUST-0385</t>
  </si>
  <si>
    <t xml:space="preserve">Saanvi Malhotra</t>
  </si>
  <si>
    <t xml:space="preserve">CUST-0610</t>
  </si>
  <si>
    <t xml:space="preserve">CUST-1200</t>
  </si>
  <si>
    <t xml:space="preserve">Sanjay Reddy</t>
  </si>
  <si>
    <t xml:space="preserve">CUST-0355</t>
  </si>
  <si>
    <t xml:space="preserve">CUST-0802</t>
  </si>
  <si>
    <t xml:space="preserve">Navya Pandey</t>
  </si>
  <si>
    <t xml:space="preserve">CUST-0849</t>
  </si>
  <si>
    <t xml:space="preserve">CUST-0622</t>
  </si>
  <si>
    <t xml:space="preserve">Sai Verma</t>
  </si>
  <si>
    <t xml:space="preserve">CUST-1105</t>
  </si>
  <si>
    <t xml:space="preserve">CUST-0238</t>
  </si>
  <si>
    <t xml:space="preserve">CUST-0242</t>
  </si>
  <si>
    <t xml:space="preserve">CUST-0416</t>
  </si>
  <si>
    <t xml:space="preserve">CUST-1150</t>
  </si>
  <si>
    <t xml:space="preserve">Sai Kumar</t>
  </si>
  <si>
    <t xml:space="preserve">CUST-0101</t>
  </si>
  <si>
    <t xml:space="preserve">Arjun Bansal</t>
  </si>
  <si>
    <t xml:space="preserve">CUST-0543</t>
  </si>
  <si>
    <t xml:space="preserve">Kavita Gupta</t>
  </si>
  <si>
    <t xml:space="preserve">CUST-1049</t>
  </si>
  <si>
    <t xml:space="preserve">Amit Garg</t>
  </si>
  <si>
    <t xml:space="preserve">CUST-0222</t>
  </si>
  <si>
    <t xml:space="preserve">CUST-0791</t>
  </si>
  <si>
    <t xml:space="preserve">CUST-0197</t>
  </si>
  <si>
    <t xml:space="preserve">CUST-0028</t>
  </si>
  <si>
    <t xml:space="preserve">CUST-0185</t>
  </si>
  <si>
    <t xml:space="preserve">CUST-0585</t>
  </si>
  <si>
    <t xml:space="preserve">Priya Rao</t>
  </si>
  <si>
    <t xml:space="preserve">CUST-1001</t>
  </si>
  <si>
    <t xml:space="preserve">Aarav Yadav</t>
  </si>
  <si>
    <t xml:space="preserve">CUST-1103</t>
  </si>
  <si>
    <t xml:space="preserve">CUST-1124</t>
  </si>
  <si>
    <t xml:space="preserve">CUST-0325</t>
  </si>
  <si>
    <t xml:space="preserve">CUST-0523</t>
  </si>
  <si>
    <t xml:space="preserve">CUST-0299</t>
  </si>
  <si>
    <t xml:space="preserve">CUST-1002</t>
  </si>
  <si>
    <t xml:space="preserve">Deepak Rao</t>
  </si>
  <si>
    <t xml:space="preserve">CUST-1077</t>
  </si>
  <si>
    <t xml:space="preserve">CUST-0213</t>
  </si>
  <si>
    <t xml:space="preserve">CUST-0464</t>
  </si>
  <si>
    <t xml:space="preserve">CUST-0684</t>
  </si>
  <si>
    <t xml:space="preserve">CUST-0699</t>
  </si>
  <si>
    <t xml:space="preserve">Vikram Joshi</t>
  </si>
  <si>
    <t xml:space="preserve">CUST-0060</t>
  </si>
  <si>
    <t xml:space="preserve">CUST-1018</t>
  </si>
  <si>
    <t xml:space="preserve">CUST-0656</t>
  </si>
  <si>
    <t xml:space="preserve">Meena Verma</t>
  </si>
  <si>
    <t xml:space="preserve">CUST-0082</t>
  </si>
  <si>
    <t xml:space="preserve">CUST-0420</t>
  </si>
  <si>
    <t xml:space="preserve">Total / Network Customers</t>
  </si>
  <si>
    <t xml:space="preserve">NETWORK FULFILLMENT HUBS &amp; LOGISTICS BOTTLENECK DIAGNOSTIC</t>
  </si>
  <si>
    <t xml:space="preserve">Node-Level Lead Time Analysis | SLA Adherence | Stockout-Induced Order Cancellations</t>
  </si>
  <si>
    <t xml:space="preserve">Hub ID</t>
  </si>
  <si>
    <t xml:space="preserve">Hub Name</t>
  </si>
  <si>
    <t xml:space="preserve">Facility Type</t>
  </si>
  <si>
    <t xml:space="preserve">Zone</t>
  </si>
  <si>
    <t xml:space="preserve">Total Orders</t>
  </si>
  <si>
    <t xml:space="preserve">Stockout Cancel %</t>
  </si>
  <si>
    <t xml:space="preserve">HUB-GAU-RDH</t>
  </si>
  <si>
    <t xml:space="preserve">Regional Distribution Hub North-East</t>
  </si>
  <si>
    <t xml:space="preserve">Regional Hub</t>
  </si>
  <si>
    <t xml:space="preserve">North-East</t>
  </si>
  <si>
    <t xml:space="preserve">HUB-DAR-KIR</t>
  </si>
  <si>
    <t xml:space="preserve">Hyperlocal Kirana SNP Darbhanga Bazaar</t>
  </si>
  <si>
    <t xml:space="preserve">Kirana Network Participant</t>
  </si>
  <si>
    <t xml:space="preserve">East</t>
  </si>
  <si>
    <t xml:space="preserve">HUB-KOL-RDH</t>
  </si>
  <si>
    <t xml:space="preserve">Regional Distribution Hub East</t>
  </si>
  <si>
    <t xml:space="preserve">HUB-PAT-RDH</t>
  </si>
  <si>
    <t xml:space="preserve">Regional Distribution Hub Magadh</t>
  </si>
  <si>
    <t xml:space="preserve">HUB-BHO-RDH</t>
  </si>
  <si>
    <t xml:space="preserve">Regional Distribution Hub Malwa</t>
  </si>
  <si>
    <t xml:space="preserve">Central</t>
  </si>
  <si>
    <t xml:space="preserve">HUB-COI-RDH</t>
  </si>
  <si>
    <t xml:space="preserve">Regional Distribution Hub Kongu</t>
  </si>
  <si>
    <t xml:space="preserve">South</t>
  </si>
  <si>
    <t xml:space="preserve">HUB-WAR-KIR</t>
  </si>
  <si>
    <t xml:space="preserve">Hyperlocal Kirana SNP Warangal Town</t>
  </si>
  <si>
    <t xml:space="preserve">HUB-BLR-MFC</t>
  </si>
  <si>
    <t xml:space="preserve">Urban Dark Store ONDC Koramangala</t>
  </si>
  <si>
    <t xml:space="preserve">Micro-Fulfillment Center</t>
  </si>
  <si>
    <t xml:space="preserve">HUB-BLR-CWH</t>
  </si>
  <si>
    <t xml:space="preserve">Central Warehouse South (BLR)</t>
  </si>
  <si>
    <t xml:space="preserve">Central Warehouse</t>
  </si>
  <si>
    <t xml:space="preserve">Hosur</t>
  </si>
  <si>
    <t xml:space="preserve">HUB-LKO-RDH</t>
  </si>
  <si>
    <t xml:space="preserve">Regional Distribution Hub Awadh</t>
  </si>
  <si>
    <t xml:space="preserve">North</t>
  </si>
  <si>
    <t xml:space="preserve">HUB-JAI-RDH</t>
  </si>
  <si>
    <t xml:space="preserve">Regional Distribution Hub Marwar</t>
  </si>
  <si>
    <t xml:space="preserve">HUB-DEL-MFC</t>
  </si>
  <si>
    <t xml:space="preserve">Urban Dark Store ONDC South Delhi</t>
  </si>
  <si>
    <t xml:space="preserve">HUB-IXJ-KIR</t>
  </si>
  <si>
    <t xml:space="preserve">Hyperlocal Kirana SNP Jammu Tawi</t>
  </si>
  <si>
    <t xml:space="preserve">HUB-DEL-CWH</t>
  </si>
  <si>
    <t xml:space="preserve">Central Warehouse North (NCR)</t>
  </si>
  <si>
    <t xml:space="preserve">Gurugram</t>
  </si>
  <si>
    <t xml:space="preserve">HUB-IXJ-RDH</t>
  </si>
  <si>
    <t xml:space="preserve">Regional Distribution Hub Northern Front</t>
  </si>
  <si>
    <t xml:space="preserve">HUB-MUM-CWH</t>
  </si>
  <si>
    <t xml:space="preserve">Central Warehouse West (BOM)</t>
  </si>
  <si>
    <t xml:space="preserve">Bhiwandi</t>
  </si>
  <si>
    <t xml:space="preserve">West</t>
  </si>
  <si>
    <t xml:space="preserve">HUB-MUM-MFC</t>
  </si>
  <si>
    <t xml:space="preserve">Urban Dark Store ONDC Andheri</t>
  </si>
  <si>
    <t xml:space="preserve">Total / Network Benchmark</t>
  </si>
  <si>
    <t xml:space="preserve">DATA DICTIONARY, FORMULA ARCHITECTURE &amp; OPERATIONAL ASSUMPTIONS</t>
  </si>
  <si>
    <t xml:space="preserve">Project BHARAT-FLOW | ONDC Network Grounding &amp; Methodological Reference</t>
  </si>
  <si>
    <t xml:space="preserve">Parameter / Metric</t>
  </si>
  <si>
    <t xml:space="preserve">Formula / Standard</t>
  </si>
  <si>
    <t xml:space="preserve">Default Value / Threshold</t>
  </si>
  <si>
    <t xml:space="preserve">Business Purpose &amp; Context</t>
  </si>
  <si>
    <t xml:space="preserve">ABC Analysis (Pareto)</t>
  </si>
  <si>
    <t xml:space="preserve">A: &lt;= 80% Cumul. Value, B: 80-95%, C: &gt; 95%</t>
  </si>
  <si>
    <t xml:space="preserve">80% / 15% / 5% Revenue Split</t>
  </si>
  <si>
    <t xml:space="preserve">Separates critical high-capital drivers from low-value tail items.</t>
  </si>
  <si>
    <t xml:space="preserve">XYZ Demand Volatility</t>
  </si>
  <si>
    <t xml:space="preserve">CV = Standard Deviation / Mean Monthly Demand</t>
  </si>
  <si>
    <t xml:space="preserve">X: &lt;= 0.45, Y: 0.45-0.85, Z: &gt; 0.85</t>
  </si>
  <si>
    <t xml:space="preserve">Measures predictability to determine make-to-stock vs pull replenishment.</t>
  </si>
  <si>
    <t xml:space="preserve">Safety Stock (SS)</t>
  </si>
  <si>
    <t xml:space="preserve">SS = Z * SQRT(L*sigma_d^2 + d^2*sigma_L^2)</t>
  </si>
  <si>
    <t xml:space="preserve">Z = 1.65 (95% Service Level)</t>
  </si>
  <si>
    <t xml:space="preserve">Protects against both consumer demand spikes and supplier transit variance.</t>
  </si>
  <si>
    <t xml:space="preserve">ROP = (Daily Demand * Lead Time) + Safety Stock</t>
  </si>
  <si>
    <t xml:space="preserve">Dynamic per SKU</t>
  </si>
  <si>
    <t xml:space="preserve">Triggers purchase orders before stock falls into dangerous stockout zones.</t>
  </si>
  <si>
    <t xml:space="preserve">Economic Order Quantity</t>
  </si>
  <si>
    <t xml:space="preserve">EOQ = SQRT((2 * Annual_Demand * Ordering_Cost) / H)</t>
  </si>
  <si>
    <t xml:space="preserve">H = Unit_Cost * Holding_Rate</t>
  </si>
  <si>
    <t xml:space="preserve">Minimizes combined total of annual ordering costs and carrying costs.</t>
  </si>
  <si>
    <t xml:space="preserve">RFM Recency Score</t>
  </si>
  <si>
    <t xml:space="preserve">NTILE(5) based on days since last order (to 2026-09-30)</t>
  </si>
  <si>
    <t xml:space="preserve">1 (Cold) to 5 (Ordered within 14d)</t>
  </si>
  <si>
    <t xml:space="preserve">Identifies transaction freshness and immediate re-engagement opportunity.</t>
  </si>
  <si>
    <t xml:space="preserve">RFM Frequency Score</t>
  </si>
  <si>
    <t xml:space="preserve">NTILE(5) based on count of delivered orders</t>
  </si>
  <si>
    <t xml:space="preserve">1 (1-2 orders) to 5 (&gt; 15 orders)</t>
  </si>
  <si>
    <t xml:space="preserve">Measures brand loyalty and repeat purchasing habits across ONDC buyer apps.</t>
  </si>
  <si>
    <t xml:space="preserve">RFM Monetary Score</t>
  </si>
  <si>
    <t xml:space="preserve">NTILE(5) based on cumulative GMV spend in INR</t>
  </si>
  <si>
    <t xml:space="preserve">1 (&lt; ₹1,500) to 5 (&gt; ₹15,000)</t>
  </si>
  <si>
    <t xml:space="preserve">Identifies high-value enterprise accounts and high-spending households.</t>
  </si>
  <si>
    <t xml:space="preserve">Monsoon Transit Friction</t>
  </si>
  <si>
    <t xml:space="preserve">+35% lead time and higher delay variance in July-Aug</t>
  </si>
  <si>
    <t xml:space="preserve">75-80% delivery SLA</t>
  </si>
  <si>
    <t xml:space="preserve">Models Indian climate realities on highway networks and last-mile flooding.</t>
  </si>
  <si>
    <t xml:space="preserve">Festive Demand Shock</t>
  </si>
  <si>
    <t xml:space="preserve">+40% order volume spike during Diwali/Dussehra</t>
  </si>
  <si>
    <t xml:space="preserve">October – November peak</t>
  </si>
  <si>
    <t xml:space="preserve">Models consumer stocking behavior and pre-festival bulk purchasing.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</si>
</sst>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"/>
    <numFmt numFmtId="166" formatCode="0.0%"/>
    <numFmt numFmtId="167" formatCode="#,##0"/>
    <numFmt numFmtId="168" formatCode="0.0"/>
    <numFmt numFmtId="169" formatCode="\₹#,##0.00"/>
    <numFmt numFmtId="170" formatCode="General"/>
    <numFmt numFmtId="171" formatCode="0.000"/>
    <numFmt numFmtId="172" formatCode="#,##0.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E2E8F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5"/>
      <color rgb="FF1A365D"/>
      <name val="Calibri"/>
      <family val="0"/>
      <charset val="1"/>
    </font>
    <font>
      <sz val="8.5"/>
      <color rgb="FF4A5568"/>
      <name val="Calibri"/>
      <family val="0"/>
      <charset val="1"/>
    </font>
    <font>
      <b val="true"/>
      <sz val="12"/>
      <color rgb="FF1A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.5"/>
      <color rgb="FF1A202C"/>
      <name val="Calibri"/>
      <family val="0"/>
      <charset val="1"/>
    </font>
    <font>
      <b val="true"/>
      <sz val="9.5"/>
      <color rgb="FF1A202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1A202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1A202C"/>
      </patternFill>
    </fill>
    <fill>
      <patternFill patternType="solid">
        <fgColor rgb="FF2B6CB0"/>
        <bgColor rgb="FF4F81BD"/>
      </patternFill>
    </fill>
    <fill>
      <patternFill patternType="solid">
        <fgColor rgb="FFEDF2F7"/>
        <bgColor rgb="FFF7FAFC"/>
      </patternFill>
    </fill>
    <fill>
      <patternFill patternType="solid">
        <fgColor rgb="FFF7FAF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CBD5E0"/>
      </top>
      <bottom style="double">
        <color rgb="FF1A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DF2F7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7FAF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Gross Profit Architecture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Executive_Dashboard!D8</c:f>
              <c:strCache>
                <c:ptCount val="1"/>
                <c:pt idx="0">
                  <c:v>Gross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Executive_Dashboard!$A$9:$A$13</c:f>
              <c:strCache>
                <c:ptCount val="5"/>
                <c:pt idx="0">
                  <c:v>Packaged Food &amp; Staples</c:v>
                </c:pt>
                <c:pt idx="1">
                  <c:v>Personal &amp; Home Care</c:v>
                </c:pt>
                <c:pt idx="2">
                  <c:v>Beverages &amp; Snacks</c:v>
                </c:pt>
                <c:pt idx="3">
                  <c:v>Essential Pharma &amp; OTC</c:v>
                </c:pt>
                <c:pt idx="4">
                  <c:v>Dairy &amp; Perishables</c:v>
                </c:pt>
              </c:strCache>
            </c:strRef>
          </c:cat>
          <c:val>
            <c:numRef>
              <c:f>Executive_Dashboard!$D$9:$D$13</c:f>
              <c:numCache>
                <c:formatCode>General</c:formatCode>
                <c:ptCount val="5"/>
                <c:pt idx="0">
                  <c:v>1928327.54</c:v>
                </c:pt>
                <c:pt idx="1">
                  <c:v>1588261.7</c:v>
                </c:pt>
                <c:pt idx="2">
                  <c:v>1345338.67</c:v>
                </c:pt>
                <c:pt idx="3">
                  <c:v>697413.47</c:v>
                </c:pt>
                <c:pt idx="4">
                  <c:v>555948.16</c:v>
                </c:pt>
              </c:numCache>
            </c:numRef>
          </c:val>
        </c:ser>
        <c:ser>
          <c:idx val="1"/>
          <c:order val="1"/>
          <c:tx>
            <c:strRef>
              <c:f>Executive_Dashboard!E8</c:f>
              <c:strCache>
                <c:ptCount val="1"/>
                <c:pt idx="0">
                  <c:v>COGS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Executive_Dashboard!$A$9:$A$13</c:f>
              <c:strCache>
                <c:ptCount val="5"/>
                <c:pt idx="0">
                  <c:v>Packaged Food &amp; Staples</c:v>
                </c:pt>
                <c:pt idx="1">
                  <c:v>Personal &amp; Home Care</c:v>
                </c:pt>
                <c:pt idx="2">
                  <c:v>Beverages &amp; Snacks</c:v>
                </c:pt>
                <c:pt idx="3">
                  <c:v>Essential Pharma &amp; OTC</c:v>
                </c:pt>
                <c:pt idx="4">
                  <c:v>Dairy &amp; Perishables</c:v>
                </c:pt>
              </c:strCache>
            </c:strRef>
          </c:cat>
          <c:val>
            <c:numRef>
              <c:f>Executive_Dashboard!$E$9:$E$13</c:f>
              <c:numCache>
                <c:formatCode>General</c:formatCode>
                <c:ptCount val="5"/>
                <c:pt idx="0">
                  <c:v>1668082</c:v>
                </c:pt>
                <c:pt idx="1">
                  <c:v>1327933</c:v>
                </c:pt>
                <c:pt idx="2">
                  <c:v>1116848</c:v>
                </c:pt>
                <c:pt idx="3">
                  <c:v>539734</c:v>
                </c:pt>
                <c:pt idx="4">
                  <c:v>455684</c:v>
                </c:pt>
              </c:numCache>
            </c:numRef>
          </c:val>
        </c:ser>
        <c:ser>
          <c:idx val="2"/>
          <c:order val="2"/>
          <c:tx>
            <c:strRef>
              <c:f>Executive_Dashboard!F8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Executive_Dashboard!$A$9:$A$13</c:f>
              <c:strCache>
                <c:ptCount val="5"/>
                <c:pt idx="0">
                  <c:v>Packaged Food &amp; Staples</c:v>
                </c:pt>
                <c:pt idx="1">
                  <c:v>Personal &amp; Home Care</c:v>
                </c:pt>
                <c:pt idx="2">
                  <c:v>Beverages &amp; Snacks</c:v>
                </c:pt>
                <c:pt idx="3">
                  <c:v>Essential Pharma &amp; OTC</c:v>
                </c:pt>
                <c:pt idx="4">
                  <c:v>Dairy &amp; Perishables</c:v>
                </c:pt>
              </c:strCache>
            </c:strRef>
          </c:cat>
          <c:val>
            <c:numRef>
              <c:f>Executive_Dashboard!$F$9:$F$13</c:f>
              <c:numCache>
                <c:formatCode>General</c:formatCode>
                <c:ptCount val="5"/>
                <c:pt idx="0">
                  <c:v>260245.54</c:v>
                </c:pt>
                <c:pt idx="1">
                  <c:v>260328.7</c:v>
                </c:pt>
                <c:pt idx="2">
                  <c:v>228490.67</c:v>
                </c:pt>
                <c:pt idx="3">
                  <c:v>157679.47</c:v>
                </c:pt>
                <c:pt idx="4">
                  <c:v>100264.16</c:v>
                </c:pt>
              </c:numCache>
            </c:numRef>
          </c:val>
        </c:ser>
        <c:gapWidth val="150"/>
        <c:overlap val="0"/>
        <c:axId val="7462344"/>
        <c:axId val="68203511"/>
      </c:barChart>
      <c:catAx>
        <c:axId val="7462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03511"/>
        <c:crosses val="autoZero"/>
        <c:auto val="1"/>
        <c:lblAlgn val="ctr"/>
        <c:lblOffset val="100"/>
        <c:noMultiLvlLbl val="0"/>
      </c:catAx>
      <c:valAx>
        <c:axId val="68203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 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2344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Fulfillment Hub Volume &amp; Stockout Cancellation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Logistics_Hub_Diagnostic!H4</c:f>
              <c:strCache>
                <c:ptCount val="1"/>
                <c:pt idx="0">
                  <c:v>Delivered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Logistics_Hub_Diagnostic!$D$5:$D$21</c:f>
              <c:strCache>
                <c:ptCount val="17"/>
                <c:pt idx="0">
                  <c:v>Guwahati</c:v>
                </c:pt>
                <c:pt idx="1">
                  <c:v>Darbhanga</c:v>
                </c:pt>
                <c:pt idx="2">
                  <c:v>Kolkata</c:v>
                </c:pt>
                <c:pt idx="3">
                  <c:v>Patna</c:v>
                </c:pt>
                <c:pt idx="4">
                  <c:v>Bhopal</c:v>
                </c:pt>
                <c:pt idx="5">
                  <c:v>Coimbatore</c:v>
                </c:pt>
                <c:pt idx="6">
                  <c:v>Warangal</c:v>
                </c:pt>
                <c:pt idx="7">
                  <c:v>Bengaluru</c:v>
                </c:pt>
                <c:pt idx="8">
                  <c:v>Hosur</c:v>
                </c:pt>
                <c:pt idx="9">
                  <c:v>Lucknow</c:v>
                </c:pt>
                <c:pt idx="10">
                  <c:v>Jaipur</c:v>
                </c:pt>
                <c:pt idx="11">
                  <c:v>New Delhi</c:v>
                </c:pt>
                <c:pt idx="12">
                  <c:v>Jammu</c:v>
                </c:pt>
                <c:pt idx="13">
                  <c:v>Gurugram</c:v>
                </c:pt>
                <c:pt idx="14">
                  <c:v>Jammu</c:v>
                </c:pt>
                <c:pt idx="15">
                  <c:v>Bhiwandi</c:v>
                </c:pt>
                <c:pt idx="16">
                  <c:v>Mumbai</c:v>
                </c:pt>
              </c:strCache>
            </c:strRef>
          </c:cat>
          <c:val>
            <c:numRef>
              <c:f>Logistics_Hub_Diagnostic!$H$5:$H$21</c:f>
              <c:numCache>
                <c:formatCode>General</c:formatCode>
                <c:ptCount val="17"/>
                <c:pt idx="0">
                  <c:v>829</c:v>
                </c:pt>
                <c:pt idx="1">
                  <c:v>635</c:v>
                </c:pt>
                <c:pt idx="2">
                  <c:v>626</c:v>
                </c:pt>
                <c:pt idx="3">
                  <c:v>599</c:v>
                </c:pt>
                <c:pt idx="4">
                  <c:v>564</c:v>
                </c:pt>
                <c:pt idx="5">
                  <c:v>511</c:v>
                </c:pt>
                <c:pt idx="6">
                  <c:v>508</c:v>
                </c:pt>
                <c:pt idx="7">
                  <c:v>490</c:v>
                </c:pt>
                <c:pt idx="8">
                  <c:v>474</c:v>
                </c:pt>
                <c:pt idx="9">
                  <c:v>365</c:v>
                </c:pt>
                <c:pt idx="10">
                  <c:v>377</c:v>
                </c:pt>
                <c:pt idx="11">
                  <c:v>362</c:v>
                </c:pt>
                <c:pt idx="12">
                  <c:v>370</c:v>
                </c:pt>
                <c:pt idx="13">
                  <c:v>335</c:v>
                </c:pt>
                <c:pt idx="14">
                  <c:v>327</c:v>
                </c:pt>
                <c:pt idx="15">
                  <c:v>248</c:v>
                </c:pt>
                <c:pt idx="16">
                  <c:v>247</c:v>
                </c:pt>
              </c:numCache>
            </c:numRef>
          </c:val>
        </c:ser>
        <c:gapWidth val="150"/>
        <c:overlap val="0"/>
        <c:axId val="92649752"/>
        <c:axId val="27016235"/>
      </c:barChart>
      <c:catAx>
        <c:axId val="92649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Hub Facility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16235"/>
        <c:crosses val="autoZero"/>
        <c:auto val="1"/>
        <c:lblAlgn val="ctr"/>
        <c:lblOffset val="100"/>
        <c:noMultiLvlLbl val="0"/>
      </c:catAx>
      <c:valAx>
        <c:axId val="27016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Delivered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49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3</xdr:col>
      <xdr:colOff>1044720</xdr:colOff>
      <xdr:row>40</xdr:row>
      <xdr:rowOff>181080</xdr:rowOff>
    </xdr:to>
    <xdr:graphicFrame>
      <xdr:nvGraphicFramePr>
        <xdr:cNvPr id="0" name="Chart 1"/>
        <xdr:cNvGraphicFramePr/>
      </xdr:nvGraphicFramePr>
      <xdr:xfrm>
        <a:off x="0" y="556272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2</xdr:col>
      <xdr:colOff>1115280</xdr:colOff>
      <xdr:row>41</xdr:row>
      <xdr:rowOff>181080</xdr:rowOff>
    </xdr:to>
    <xdr:graphicFrame>
      <xdr:nvGraphicFramePr>
        <xdr:cNvPr id="1" name="Chart 1"/>
        <xdr:cNvGraphicFramePr/>
      </xdr:nvGraphicFramePr>
      <xdr:xfrm>
        <a:off x="0" y="57531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  <c r="H3" s="3"/>
    </row>
    <row r="4" customFormat="false" ht="25.5" hidden="false" customHeight="true" outlineLevel="0" collapsed="false">
      <c r="A4" s="4" t="n">
        <v>60243135.5</v>
      </c>
      <c r="B4" s="4"/>
      <c r="C4" s="4" t="n">
        <v>6115289.54</v>
      </c>
      <c r="D4" s="4"/>
      <c r="E4" s="5" t="n">
        <v>0.815431549510614</v>
      </c>
      <c r="F4" s="5"/>
      <c r="G4" s="6" t="n">
        <v>1056</v>
      </c>
      <c r="H4" s="6"/>
    </row>
    <row r="5" customFormat="false" ht="15.75" hidden="false" customHeight="true" outlineLevel="0" collapsed="false">
      <c r="A5" s="7" t="s">
        <v>6</v>
      </c>
      <c r="B5" s="7"/>
      <c r="C5" s="7" t="s">
        <v>7</v>
      </c>
      <c r="D5" s="7"/>
      <c r="E5" s="7" t="s">
        <v>8</v>
      </c>
      <c r="F5" s="7"/>
      <c r="G5" s="7" t="s">
        <v>9</v>
      </c>
      <c r="H5" s="7"/>
    </row>
    <row r="7" customFormat="false" ht="15" hidden="false" customHeight="false" outlineLevel="0" collapsed="false">
      <c r="A7" s="8" t="s">
        <v>10</v>
      </c>
    </row>
    <row r="8" customFormat="false" ht="21.75" hidden="false" customHeight="true" outlineLevel="0" collapsed="false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9" t="s">
        <v>18</v>
      </c>
    </row>
    <row r="9" customFormat="false" ht="19.5" hidden="false" customHeight="true" outlineLevel="0" collapsed="false">
      <c r="A9" s="10" t="s">
        <v>19</v>
      </c>
      <c r="B9" s="11" t="n">
        <v>7</v>
      </c>
      <c r="C9" s="11" t="n">
        <v>9416</v>
      </c>
      <c r="D9" s="12" t="n">
        <v>1928327.54</v>
      </c>
      <c r="E9" s="12" t="n">
        <v>1668082</v>
      </c>
      <c r="F9" s="12" t="n">
        <f aca="false">D9-E9</f>
        <v>260245.54</v>
      </c>
      <c r="G9" s="13" t="n">
        <f aca="false">F9/D9</f>
        <v>0.134959198892114</v>
      </c>
      <c r="H9" s="14" t="n">
        <f aca="false">ROUND(E9/(SUMIF(Inventory_ABC_XYZ!$C$6:$C$40, A9, Inventory_ABC_XYZ!$F$6:$F$40)*0.18), 1)</f>
        <v>5.6</v>
      </c>
    </row>
    <row r="10" customFormat="false" ht="19.5" hidden="false" customHeight="true" outlineLevel="0" collapsed="false">
      <c r="A10" s="15" t="s">
        <v>20</v>
      </c>
      <c r="B10" s="16" t="n">
        <v>7</v>
      </c>
      <c r="C10" s="16" t="n">
        <v>9235</v>
      </c>
      <c r="D10" s="17" t="n">
        <v>1588261.7</v>
      </c>
      <c r="E10" s="17" t="n">
        <v>1327933</v>
      </c>
      <c r="F10" s="17" t="n">
        <f aca="false">D10-E10</f>
        <v>260328.7</v>
      </c>
      <c r="G10" s="18" t="n">
        <f aca="false">F10/D10</f>
        <v>0.16390793784173</v>
      </c>
      <c r="H10" s="19" t="n">
        <f aca="false">ROUND(E10/(SUMIF(Inventory_ABC_XYZ!$C$6:$C$40, A10, Inventory_ABC_XYZ!$F$6:$F$40)*0.18), 1)</f>
        <v>5.6</v>
      </c>
    </row>
    <row r="11" customFormat="false" ht="19.5" hidden="false" customHeight="true" outlineLevel="0" collapsed="false">
      <c r="A11" s="10" t="s">
        <v>21</v>
      </c>
      <c r="B11" s="11" t="n">
        <v>7</v>
      </c>
      <c r="C11" s="11" t="n">
        <v>9902</v>
      </c>
      <c r="D11" s="12" t="n">
        <v>1345338.67</v>
      </c>
      <c r="E11" s="12" t="n">
        <v>1116848</v>
      </c>
      <c r="F11" s="12" t="n">
        <f aca="false">D11-E11</f>
        <v>228490.67</v>
      </c>
      <c r="G11" s="13" t="n">
        <f aca="false">F11/D11</f>
        <v>0.1698387737565</v>
      </c>
      <c r="H11" s="14" t="n">
        <f aca="false">ROUND(E11/(SUMIF(Inventory_ABC_XYZ!$C$6:$C$40, A11, Inventory_ABC_XYZ!$F$6:$F$40)*0.18), 1)</f>
        <v>5.6</v>
      </c>
    </row>
    <row r="12" customFormat="false" ht="19.5" hidden="false" customHeight="true" outlineLevel="0" collapsed="false">
      <c r="A12" s="15" t="s">
        <v>22</v>
      </c>
      <c r="B12" s="16" t="n">
        <v>7</v>
      </c>
      <c r="C12" s="16" t="n">
        <v>9736</v>
      </c>
      <c r="D12" s="17" t="n">
        <v>697413.47</v>
      </c>
      <c r="E12" s="17" t="n">
        <v>539734</v>
      </c>
      <c r="F12" s="17" t="n">
        <f aca="false">D12-E12</f>
        <v>157679.47</v>
      </c>
      <c r="G12" s="18" t="n">
        <f aca="false">F12/D12</f>
        <v>0.226091804622013</v>
      </c>
      <c r="H12" s="19" t="n">
        <f aca="false">ROUND(E12/(SUMIF(Inventory_ABC_XYZ!$C$6:$C$40, A12, Inventory_ABC_XYZ!$F$6:$F$40)*0.18), 1)</f>
        <v>5.6</v>
      </c>
    </row>
    <row r="13" customFormat="false" ht="19.5" hidden="false" customHeight="true" outlineLevel="0" collapsed="false">
      <c r="A13" s="10" t="s">
        <v>23</v>
      </c>
      <c r="B13" s="11" t="n">
        <v>7</v>
      </c>
      <c r="C13" s="11" t="n">
        <v>9361</v>
      </c>
      <c r="D13" s="12" t="n">
        <v>555948.16</v>
      </c>
      <c r="E13" s="12" t="n">
        <v>455684</v>
      </c>
      <c r="F13" s="12" t="n">
        <f aca="false">D13-E13</f>
        <v>100264.16</v>
      </c>
      <c r="G13" s="13" t="n">
        <f aca="false">F13/D13</f>
        <v>0.180348038205577</v>
      </c>
      <c r="H13" s="14" t="n">
        <f aca="false">ROUND(E13/(SUMIF(Inventory_ABC_XYZ!$C$6:$C$40, A13, Inventory_ABC_XYZ!$F$6:$F$40)*0.18), 1)</f>
        <v>5.6</v>
      </c>
    </row>
    <row r="14" customFormat="false" ht="21.75" hidden="false" customHeight="true" outlineLevel="0" collapsed="false">
      <c r="A14" s="20" t="s">
        <v>24</v>
      </c>
      <c r="B14" s="21" t="n">
        <f aca="false">SUM(B9:B13)</f>
        <v>35</v>
      </c>
      <c r="C14" s="21" t="n">
        <f aca="false">SUM(C9:C13)</f>
        <v>47650</v>
      </c>
      <c r="D14" s="22" t="n">
        <f aca="false">SUM(D9:D13)</f>
        <v>6115289.54</v>
      </c>
      <c r="E14" s="22" t="n">
        <f aca="false">SUM(E9:E13)</f>
        <v>5108281</v>
      </c>
      <c r="F14" s="22" t="n">
        <f aca="false">SUM(F9:F13)</f>
        <v>1007008.54</v>
      </c>
      <c r="G14" s="23" t="n">
        <f aca="false">F14/D14</f>
        <v>0.16467062326537</v>
      </c>
      <c r="H14" s="24" t="n">
        <f aca="false">AVERAGE(H9:H13)</f>
        <v>5.6</v>
      </c>
    </row>
    <row r="16" customFormat="false" ht="15" hidden="false" customHeight="false" outlineLevel="0" collapsed="false">
      <c r="A16" s="8" t="s">
        <v>25</v>
      </c>
    </row>
    <row r="17" customFormat="false" ht="21.75" hidden="false" customHeight="true" outlineLevel="0" collapsed="false">
      <c r="A17" s="9" t="s">
        <v>26</v>
      </c>
      <c r="B17" s="9" t="s">
        <v>27</v>
      </c>
      <c r="C17" s="9" t="s">
        <v>28</v>
      </c>
      <c r="D17" s="9" t="s">
        <v>29</v>
      </c>
      <c r="E17" s="9" t="s">
        <v>30</v>
      </c>
      <c r="F17" s="9" t="s">
        <v>31</v>
      </c>
      <c r="G17" s="9" t="s">
        <v>32</v>
      </c>
      <c r="H17" s="9" t="s">
        <v>33</v>
      </c>
    </row>
    <row r="18" customFormat="false" ht="19.5" hidden="false" customHeight="true" outlineLevel="0" collapsed="false">
      <c r="A18" s="10" t="s">
        <v>34</v>
      </c>
      <c r="B18" s="11" t="n">
        <v>322</v>
      </c>
      <c r="C18" s="11" t="n">
        <v>285</v>
      </c>
      <c r="D18" s="11" t="n">
        <v>4409</v>
      </c>
      <c r="E18" s="12" t="n">
        <v>1562666.84</v>
      </c>
      <c r="F18" s="12" t="n">
        <f aca="false">E18/D18</f>
        <v>354.426591063733</v>
      </c>
      <c r="G18" s="13" t="n">
        <v>0.1708</v>
      </c>
      <c r="H18" s="13" t="n">
        <v>0.0433</v>
      </c>
    </row>
    <row r="19" customFormat="false" ht="19.5" hidden="false" customHeight="true" outlineLevel="0" collapsed="false">
      <c r="A19" s="15" t="s">
        <v>35</v>
      </c>
      <c r="B19" s="16" t="n">
        <v>481</v>
      </c>
      <c r="C19" s="16" t="n">
        <v>416</v>
      </c>
      <c r="D19" s="16" t="n">
        <v>7327</v>
      </c>
      <c r="E19" s="17" t="n">
        <v>2714114.44</v>
      </c>
      <c r="F19" s="17" t="n">
        <f aca="false">E19/D19</f>
        <v>370.426428278968</v>
      </c>
      <c r="G19" s="18" t="n">
        <v>0.1897</v>
      </c>
      <c r="H19" s="18" t="n">
        <v>0.0401</v>
      </c>
    </row>
    <row r="20" customFormat="false" ht="19.5" hidden="false" customHeight="true" outlineLevel="0" collapsed="false">
      <c r="A20" s="10" t="s">
        <v>36</v>
      </c>
      <c r="B20" s="11" t="n">
        <v>397</v>
      </c>
      <c r="C20" s="11" t="n">
        <v>355</v>
      </c>
      <c r="D20" s="11" t="n">
        <v>5436</v>
      </c>
      <c r="E20" s="12" t="n">
        <v>1838508.26</v>
      </c>
      <c r="F20" s="12" t="n">
        <f aca="false">E20/D20</f>
        <v>338.209760853569</v>
      </c>
      <c r="G20" s="13" t="n">
        <v>0.1843</v>
      </c>
      <c r="H20" s="13" t="n">
        <v>0.07</v>
      </c>
    </row>
    <row r="21" customFormat="false" ht="21.75" hidden="false" customHeight="true" outlineLevel="0" collapsed="false">
      <c r="A21" s="20" t="s">
        <v>37</v>
      </c>
      <c r="B21" s="21" t="n">
        <f aca="false">SUM(B18:B20)</f>
        <v>1200</v>
      </c>
      <c r="C21" s="21" t="n">
        <f aca="false">SUM(C18:C20)</f>
        <v>1056</v>
      </c>
      <c r="D21" s="21" t="n">
        <f aca="false">SUM(D18:D20)</f>
        <v>17172</v>
      </c>
      <c r="E21" s="22" t="n">
        <f aca="false">SUM(E18:E20)</f>
        <v>6115289.54</v>
      </c>
      <c r="F21" s="22" t="n">
        <f aca="false">E21/D21</f>
        <v>356.119819473562</v>
      </c>
      <c r="G21" s="23" t="n">
        <f aca="false">AVERAGE(G18:G20)</f>
        <v>0.1816</v>
      </c>
      <c r="H21" s="23" t="n">
        <f aca="false">AVERAGE(H18:H20)</f>
        <v>0.0511333333333333</v>
      </c>
    </row>
  </sheetData>
  <mergeCells count="14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2"/>
    <col collapsed="false" customWidth="true" hidden="false" outlineLevel="0" max="3" min="3" style="0" width="27"/>
    <col collapsed="false" customWidth="true" hidden="false" outlineLevel="0" max="4" min="4" style="0" width="17"/>
    <col collapsed="false" customWidth="true" hidden="false" outlineLevel="0" max="5" min="5" style="0" width="25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10" min="8" style="0" width="13"/>
    <col collapsed="false" customWidth="true" hidden="false" outlineLevel="0" max="11" min="11" style="0" width="24"/>
    <col collapsed="false" customWidth="true" hidden="false" outlineLevel="0" max="12" min="12" style="0" width="23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.75" hidden="false" customHeight="true" outlineLevel="0" collapsed="false">
      <c r="A3" s="25" t="s">
        <v>40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customFormat="false" ht="21.75" hidden="false" customHeight="true" outlineLevel="0" collapsed="false">
      <c r="A5" s="9" t="s">
        <v>41</v>
      </c>
      <c r="B5" s="9" t="s">
        <v>42</v>
      </c>
      <c r="C5" s="9" t="s">
        <v>11</v>
      </c>
      <c r="D5" s="9" t="s">
        <v>43</v>
      </c>
      <c r="E5" s="9" t="s">
        <v>44</v>
      </c>
      <c r="F5" s="9" t="s">
        <v>45</v>
      </c>
      <c r="G5" s="9" t="s">
        <v>46</v>
      </c>
      <c r="H5" s="9" t="s">
        <v>47</v>
      </c>
      <c r="I5" s="9" t="s">
        <v>48</v>
      </c>
      <c r="J5" s="9" t="s">
        <v>49</v>
      </c>
      <c r="K5" s="9" t="s">
        <v>50</v>
      </c>
      <c r="L5" s="9" t="s">
        <v>51</v>
      </c>
      <c r="M5" s="9" t="s">
        <v>52</v>
      </c>
      <c r="N5" s="9" t="s">
        <v>53</v>
      </c>
    </row>
    <row r="6" customFormat="false" ht="18.75" hidden="false" customHeight="true" outlineLevel="0" collapsed="false">
      <c r="A6" s="10" t="s">
        <v>54</v>
      </c>
      <c r="B6" s="10" t="s">
        <v>55</v>
      </c>
      <c r="C6" s="10" t="s">
        <v>19</v>
      </c>
      <c r="D6" s="26" t="n">
        <v>410</v>
      </c>
      <c r="E6" s="11" t="n">
        <v>1405</v>
      </c>
      <c r="F6" s="12" t="n">
        <f aca="false">D6*E6</f>
        <v>576050</v>
      </c>
      <c r="G6" s="13" t="n">
        <f aca="false">SUM($F$6:F6)/$F$41</f>
        <v>0.112767876316906</v>
      </c>
      <c r="H6" s="27" t="str">
        <f aca="false">IF(G6&lt;=0.8, "A", IF(G6&lt;=0.95, "B", "C"))</f>
        <v>A</v>
      </c>
      <c r="I6" s="28" t="n">
        <v>0.209</v>
      </c>
      <c r="J6" s="27" t="str">
        <f aca="false">IF(I6&lt;=0.45, "X", IF(I6&lt;=0.85, "Y", "Z"))</f>
        <v>X</v>
      </c>
      <c r="K6" s="11" t="n">
        <v>17</v>
      </c>
      <c r="L6" s="11" t="n">
        <v>32</v>
      </c>
      <c r="M6" s="11" t="n">
        <f aca="false">ROUND(SQRT((2*E6*250)/(D6*0.18)), 0)</f>
        <v>98</v>
      </c>
      <c r="N6" s="10" t="str">
        <f aca="false">IF(H6="A", IF(J6="X", "JIT Automated Flow", "Continuous Buffer Review"), IF(H6="B", "Periodic Fixed Order", "Two-Bin Kanban"))</f>
        <v>JIT Automated Flow</v>
      </c>
    </row>
    <row r="7" customFormat="false" ht="18.75" hidden="false" customHeight="true" outlineLevel="0" collapsed="false">
      <c r="A7" s="15" t="s">
        <v>56</v>
      </c>
      <c r="B7" s="15" t="s">
        <v>57</v>
      </c>
      <c r="C7" s="15" t="s">
        <v>19</v>
      </c>
      <c r="D7" s="29" t="n">
        <v>360</v>
      </c>
      <c r="E7" s="16" t="n">
        <v>1305</v>
      </c>
      <c r="F7" s="17" t="n">
        <f aca="false">D7*E7</f>
        <v>469800</v>
      </c>
      <c r="G7" s="18" t="n">
        <f aca="false">SUM($F$6:F7)/$F$41</f>
        <v>0.204736192077139</v>
      </c>
      <c r="H7" s="30" t="str">
        <f aca="false">IF(G7&lt;=0.8, "A", IF(G7&lt;=0.95, "B", "C"))</f>
        <v>A</v>
      </c>
      <c r="I7" s="31" t="n">
        <v>0.218</v>
      </c>
      <c r="J7" s="30" t="str">
        <f aca="false">IF(I7&lt;=0.45, "X", IF(I7&lt;=0.85, "Y", "Z"))</f>
        <v>X</v>
      </c>
      <c r="K7" s="16" t="n">
        <v>16</v>
      </c>
      <c r="L7" s="16" t="n">
        <v>30</v>
      </c>
      <c r="M7" s="16" t="n">
        <f aca="false">ROUND(SQRT((2*E7*220)/(D7*0.18)), 0)</f>
        <v>94</v>
      </c>
      <c r="N7" s="15" t="str">
        <f aca="false">IF(H7="A", IF(J7="X", "JIT Automated Flow", "Continuous Buffer Review"), IF(H7="B", "Periodic Fixed Order", "Two-Bin Kanban"))</f>
        <v>JIT Automated Flow</v>
      </c>
    </row>
    <row r="8" customFormat="false" ht="18.75" hidden="false" customHeight="true" outlineLevel="0" collapsed="false">
      <c r="A8" s="10" t="s">
        <v>58</v>
      </c>
      <c r="B8" s="10" t="s">
        <v>59</v>
      </c>
      <c r="C8" s="10" t="s">
        <v>20</v>
      </c>
      <c r="D8" s="26" t="n">
        <v>240</v>
      </c>
      <c r="E8" s="11" t="n">
        <v>1407</v>
      </c>
      <c r="F8" s="12" t="n">
        <f aca="false">D8*E8</f>
        <v>337680</v>
      </c>
      <c r="G8" s="13" t="n">
        <f aca="false">SUM($F$6:F8)/$F$41</f>
        <v>0.270840621336219</v>
      </c>
      <c r="H8" s="27" t="str">
        <f aca="false">IF(G8&lt;=0.8, "A", IF(G8&lt;=0.95, "B", "C"))</f>
        <v>A</v>
      </c>
      <c r="I8" s="28" t="n">
        <v>0.281</v>
      </c>
      <c r="J8" s="27" t="str">
        <f aca="false">IF(I8&lt;=0.45, "X", IF(I8&lt;=0.85, "Y", "Z"))</f>
        <v>X</v>
      </c>
      <c r="K8" s="11" t="n">
        <v>18</v>
      </c>
      <c r="L8" s="11" t="n">
        <v>30</v>
      </c>
      <c r="M8" s="11" t="n">
        <f aca="false">ROUND(SQRT((2*E8*180)/(D8*0.18)), 0)</f>
        <v>108</v>
      </c>
      <c r="N8" s="10" t="str">
        <f aca="false">IF(H8="A", IF(J8="X", "JIT Automated Flow", "Continuous Buffer Review"), IF(H8="B", "Periodic Fixed Order", "Two-Bin Kanban"))</f>
        <v>JIT Automated Flow</v>
      </c>
    </row>
    <row r="9" customFormat="false" ht="18.75" hidden="false" customHeight="true" outlineLevel="0" collapsed="false">
      <c r="A9" s="15" t="s">
        <v>60</v>
      </c>
      <c r="B9" s="15" t="s">
        <v>61</v>
      </c>
      <c r="C9" s="15" t="s">
        <v>21</v>
      </c>
      <c r="D9" s="29" t="n">
        <v>195</v>
      </c>
      <c r="E9" s="16" t="n">
        <v>1464</v>
      </c>
      <c r="F9" s="17" t="n">
        <f aca="false">D9*E9</f>
        <v>285480</v>
      </c>
      <c r="G9" s="18" t="n">
        <f aca="false">SUM($F$6:F9)/$F$41</f>
        <v>0.326726348844161</v>
      </c>
      <c r="H9" s="30" t="str">
        <f aca="false">IF(G9&lt;=0.8, "A", IF(G9&lt;=0.95, "B", "C"))</f>
        <v>A</v>
      </c>
      <c r="I9" s="31" t="n">
        <v>0.229</v>
      </c>
      <c r="J9" s="30" t="str">
        <f aca="false">IF(I9&lt;=0.45, "X", IF(I9&lt;=0.85, "Y", "Z"))</f>
        <v>X</v>
      </c>
      <c r="K9" s="16" t="n">
        <v>18</v>
      </c>
      <c r="L9" s="16" t="n">
        <v>34</v>
      </c>
      <c r="M9" s="16" t="n">
        <f aca="false">ROUND(SQRT((2*E9*170)/(D9*0.16)), 0)</f>
        <v>126</v>
      </c>
      <c r="N9" s="15" t="str">
        <f aca="false">IF(H9="A", IF(J9="X", "JIT Automated Flow", "Continuous Buffer Review"), IF(H9="B", "Periodic Fixed Order", "Two-Bin Kanban"))</f>
        <v>JIT Automated Flow</v>
      </c>
    </row>
    <row r="10" customFormat="false" ht="18.75" hidden="false" customHeight="true" outlineLevel="0" collapsed="false">
      <c r="A10" s="10" t="s">
        <v>62</v>
      </c>
      <c r="B10" s="10" t="s">
        <v>63</v>
      </c>
      <c r="C10" s="10" t="s">
        <v>21</v>
      </c>
      <c r="D10" s="26" t="n">
        <v>195</v>
      </c>
      <c r="E10" s="11" t="n">
        <v>1318</v>
      </c>
      <c r="F10" s="12" t="n">
        <f aca="false">D10*E10</f>
        <v>257010</v>
      </c>
      <c r="G10" s="13" t="n">
        <f aca="false">SUM($F$6:F10)/$F$41</f>
        <v>0.377038772925765</v>
      </c>
      <c r="H10" s="27" t="str">
        <f aca="false">IF(G10&lt;=0.8, "A", IF(G10&lt;=0.95, "B", "C"))</f>
        <v>A</v>
      </c>
      <c r="I10" s="28" t="n">
        <v>0.278</v>
      </c>
      <c r="J10" s="27" t="str">
        <f aca="false">IF(I10&lt;=0.45, "X", IF(I10&lt;=0.85, "Y", "Z"))</f>
        <v>X</v>
      </c>
      <c r="K10" s="11" t="n">
        <v>20</v>
      </c>
      <c r="L10" s="11" t="n">
        <v>34</v>
      </c>
      <c r="M10" s="11" t="n">
        <f aca="false">ROUND(SQRT((2*E10*170)/(D10*0.16)), 0)</f>
        <v>120</v>
      </c>
      <c r="N10" s="10" t="str">
        <f aca="false">IF(H10="A", IF(J10="X", "JIT Automated Flow", "Continuous Buffer Review"), IF(H10="B", "Periodic Fixed Order", "Two-Bin Kanban"))</f>
        <v>JIT Automated Flow</v>
      </c>
    </row>
    <row r="11" customFormat="false" ht="18.75" hidden="false" customHeight="true" outlineLevel="0" collapsed="false">
      <c r="A11" s="15" t="s">
        <v>64</v>
      </c>
      <c r="B11" s="15" t="s">
        <v>65</v>
      </c>
      <c r="C11" s="15" t="s">
        <v>20</v>
      </c>
      <c r="D11" s="29" t="n">
        <v>168</v>
      </c>
      <c r="E11" s="16" t="n">
        <v>1397</v>
      </c>
      <c r="F11" s="17" t="n">
        <f aca="false">D11*E11</f>
        <v>234696</v>
      </c>
      <c r="G11" s="18" t="n">
        <f aca="false">SUM($F$6:F11)/$F$41</f>
        <v>0.422982995649613</v>
      </c>
      <c r="H11" s="30" t="str">
        <f aca="false">IF(G11&lt;=0.8, "A", IF(G11&lt;=0.95, "B", "C"))</f>
        <v>A</v>
      </c>
      <c r="I11" s="31" t="n">
        <v>0.395</v>
      </c>
      <c r="J11" s="30" t="str">
        <f aca="false">IF(I11&lt;=0.45, "X", IF(I11&lt;=0.85, "Y", "Z"))</f>
        <v>X</v>
      </c>
      <c r="K11" s="16" t="n">
        <v>24</v>
      </c>
      <c r="L11" s="16" t="n">
        <v>35</v>
      </c>
      <c r="M11" s="16" t="n">
        <f aca="false">ROUND(SQRT((2*E11*170)/(D11*0.16)), 0)</f>
        <v>133</v>
      </c>
      <c r="N11" s="15" t="str">
        <f aca="false">IF(H11="A", IF(J11="X", "JIT Automated Flow", "Continuous Buffer Review"), IF(H11="B", "Periodic Fixed Order", "Two-Bin Kanban"))</f>
        <v>JIT Automated Flow</v>
      </c>
    </row>
    <row r="12" customFormat="false" ht="18.75" hidden="false" customHeight="true" outlineLevel="0" collapsed="false">
      <c r="A12" s="10" t="s">
        <v>66</v>
      </c>
      <c r="B12" s="10" t="s">
        <v>67</v>
      </c>
      <c r="C12" s="10" t="s">
        <v>20</v>
      </c>
      <c r="D12" s="26" t="n">
        <v>155</v>
      </c>
      <c r="E12" s="11" t="n">
        <v>1375</v>
      </c>
      <c r="F12" s="12" t="n">
        <f aca="false">D12*E12</f>
        <v>213125</v>
      </c>
      <c r="G12" s="13" t="n">
        <f aca="false">SUM($F$6:F12)/$F$41</f>
        <v>0.464704467119174</v>
      </c>
      <c r="H12" s="27" t="str">
        <f aca="false">IF(G12&lt;=0.8, "A", IF(G12&lt;=0.95, "B", "C"))</f>
        <v>A</v>
      </c>
      <c r="I12" s="28" t="n">
        <v>0.341</v>
      </c>
      <c r="J12" s="27" t="str">
        <f aca="false">IF(I12&lt;=0.45, "X", IF(I12&lt;=0.85, "Y", "Z"))</f>
        <v>X</v>
      </c>
      <c r="K12" s="11" t="n">
        <v>28</v>
      </c>
      <c r="L12" s="11" t="n">
        <v>47</v>
      </c>
      <c r="M12" s="11" t="n">
        <f aca="false">ROUND(SQRT((2*E12*160)/(D12*0.16)), 0)</f>
        <v>133</v>
      </c>
      <c r="N12" s="10" t="str">
        <f aca="false">IF(H12="A", IF(J12="X", "JIT Automated Flow", "Continuous Buffer Review"), IF(H12="B", "Periodic Fixed Order", "Two-Bin Kanban"))</f>
        <v>JIT Automated Flow</v>
      </c>
    </row>
    <row r="13" customFormat="false" ht="18.75" hidden="false" customHeight="true" outlineLevel="0" collapsed="false">
      <c r="A13" s="15" t="s">
        <v>68</v>
      </c>
      <c r="B13" s="15" t="s">
        <v>69</v>
      </c>
      <c r="C13" s="15" t="s">
        <v>19</v>
      </c>
      <c r="D13" s="29" t="n">
        <v>145</v>
      </c>
      <c r="E13" s="16" t="n">
        <v>1442</v>
      </c>
      <c r="F13" s="17" t="n">
        <f aca="false">D13*E13</f>
        <v>209090</v>
      </c>
      <c r="G13" s="18" t="n">
        <f aca="false">SUM($F$6:F13)/$F$41</f>
        <v>0.505636044689006</v>
      </c>
      <c r="H13" s="30" t="str">
        <f aca="false">IF(G13&lt;=0.8, "A", IF(G13&lt;=0.95, "B", "C"))</f>
        <v>A</v>
      </c>
      <c r="I13" s="31" t="n">
        <v>0.19</v>
      </c>
      <c r="J13" s="30" t="str">
        <f aca="false">IF(I13&lt;=0.45, "X", IF(I13&lt;=0.85, "Y", "Z"))</f>
        <v>X</v>
      </c>
      <c r="K13" s="16" t="n">
        <v>16</v>
      </c>
      <c r="L13" s="16" t="n">
        <v>32</v>
      </c>
      <c r="M13" s="16" t="n">
        <f aca="false">ROUND(SQRT((2*E13*150)/(D13*0.18)), 0)</f>
        <v>129</v>
      </c>
      <c r="N13" s="15" t="str">
        <f aca="false">IF(H13="A", IF(J13="X", "JIT Automated Flow", "Continuous Buffer Review"), IF(H13="B", "Periodic Fixed Order", "Two-Bin Kanban"))</f>
        <v>JIT Automated Flow</v>
      </c>
    </row>
    <row r="14" customFormat="false" ht="18.75" hidden="false" customHeight="true" outlineLevel="0" collapsed="false">
      <c r="A14" s="10" t="s">
        <v>70</v>
      </c>
      <c r="B14" s="10" t="s">
        <v>71</v>
      </c>
      <c r="C14" s="10" t="s">
        <v>21</v>
      </c>
      <c r="D14" s="26" t="n">
        <v>145</v>
      </c>
      <c r="E14" s="11" t="n">
        <v>1438</v>
      </c>
      <c r="F14" s="12" t="n">
        <f aca="false">D14*E14</f>
        <v>208510</v>
      </c>
      <c r="G14" s="13" t="n">
        <f aca="false">SUM($F$6:F14)/$F$41</f>
        <v>0.54645408112827</v>
      </c>
      <c r="H14" s="27" t="str">
        <f aca="false">IF(G14&lt;=0.8, "A", IF(G14&lt;=0.95, "B", "C"))</f>
        <v>A</v>
      </c>
      <c r="I14" s="28" t="n">
        <v>0.265</v>
      </c>
      <c r="J14" s="27" t="str">
        <f aca="false">IF(I14&lt;=0.45, "X", IF(I14&lt;=0.85, "Y", "Z"))</f>
        <v>X</v>
      </c>
      <c r="K14" s="11" t="n">
        <v>21</v>
      </c>
      <c r="L14" s="11" t="n">
        <v>37</v>
      </c>
      <c r="M14" s="11" t="n">
        <f aca="false">ROUND(SQRT((2*E14*150)/(D14*0.18)), 0)</f>
        <v>129</v>
      </c>
      <c r="N14" s="10" t="str">
        <f aca="false">IF(H14="A", IF(J14="X", "JIT Automated Flow", "Continuous Buffer Review"), IF(H14="B", "Periodic Fixed Order", "Two-Bin Kanban"))</f>
        <v>JIT Automated Flow</v>
      </c>
    </row>
    <row r="15" customFormat="false" ht="18.75" hidden="false" customHeight="true" outlineLevel="0" collapsed="false">
      <c r="A15" s="15" t="s">
        <v>72</v>
      </c>
      <c r="B15" s="15" t="s">
        <v>73</v>
      </c>
      <c r="C15" s="15" t="s">
        <v>22</v>
      </c>
      <c r="D15" s="29" t="n">
        <v>120</v>
      </c>
      <c r="E15" s="16" t="n">
        <v>1659</v>
      </c>
      <c r="F15" s="17" t="n">
        <f aca="false">D15*E15</f>
        <v>199080</v>
      </c>
      <c r="G15" s="18" t="n">
        <f aca="false">SUM($F$6:F15)/$F$41</f>
        <v>0.585426095392951</v>
      </c>
      <c r="H15" s="30" t="str">
        <f aca="false">IF(G15&lt;=0.8, "A", IF(G15&lt;=0.95, "B", "C"))</f>
        <v>A</v>
      </c>
      <c r="I15" s="31" t="n">
        <v>0.343</v>
      </c>
      <c r="J15" s="30" t="str">
        <f aca="false">IF(I15&lt;=0.45, "X", IF(I15&lt;=0.85, "Y", "Z"))</f>
        <v>X</v>
      </c>
      <c r="K15" s="16" t="n">
        <v>25</v>
      </c>
      <c r="L15" s="16" t="n">
        <v>39</v>
      </c>
      <c r="M15" s="16" t="n">
        <f aca="false">ROUND(SQRT((2*E15*130)/(D15*0.18)), 0)</f>
        <v>141</v>
      </c>
      <c r="N15" s="15" t="str">
        <f aca="false">IF(H15="A", IF(J15="X", "JIT Automated Flow", "Continuous Buffer Review"), IF(H15="B", "Periodic Fixed Order", "Two-Bin Kanban"))</f>
        <v>JIT Automated Flow</v>
      </c>
    </row>
    <row r="16" customFormat="false" ht="18.75" hidden="false" customHeight="true" outlineLevel="0" collapsed="false">
      <c r="A16" s="10" t="s">
        <v>74</v>
      </c>
      <c r="B16" s="10" t="s">
        <v>75</v>
      </c>
      <c r="C16" s="10" t="s">
        <v>19</v>
      </c>
      <c r="D16" s="26" t="n">
        <v>125</v>
      </c>
      <c r="E16" s="11" t="n">
        <v>1360</v>
      </c>
      <c r="F16" s="12" t="n">
        <f aca="false">D16*E16</f>
        <v>170000</v>
      </c>
      <c r="G16" s="13" t="n">
        <f aca="false">SUM($F$6:F16)/$F$41</f>
        <v>0.618705392283627</v>
      </c>
      <c r="H16" s="27" t="str">
        <f aca="false">IF(G16&lt;=0.8, "A", IF(G16&lt;=0.95, "B", "C"))</f>
        <v>A</v>
      </c>
      <c r="I16" s="28" t="n">
        <v>0.291</v>
      </c>
      <c r="J16" s="27" t="str">
        <f aca="false">IF(I16&lt;=0.45, "X", IF(I16&lt;=0.85, "Y", "Z"))</f>
        <v>X</v>
      </c>
      <c r="K16" s="11" t="n">
        <v>24</v>
      </c>
      <c r="L16" s="11" t="n">
        <v>43</v>
      </c>
      <c r="M16" s="11" t="n">
        <f aca="false">ROUND(SQRT((2*E16*180)/(D16*0.18)), 0)</f>
        <v>148</v>
      </c>
      <c r="N16" s="10" t="str">
        <f aca="false">IF(H16="A", IF(J16="X", "JIT Automated Flow", "Continuous Buffer Review"), IF(H16="B", "Periodic Fixed Order", "Two-Bin Kanban"))</f>
        <v>JIT Automated Flow</v>
      </c>
    </row>
    <row r="17" customFormat="false" ht="18.75" hidden="false" customHeight="true" outlineLevel="0" collapsed="false">
      <c r="A17" s="15" t="s">
        <v>76</v>
      </c>
      <c r="B17" s="15" t="s">
        <v>77</v>
      </c>
      <c r="C17" s="15" t="s">
        <v>22</v>
      </c>
      <c r="D17" s="29" t="n">
        <v>95</v>
      </c>
      <c r="E17" s="16" t="n">
        <v>1396</v>
      </c>
      <c r="F17" s="17" t="n">
        <f aca="false">D17*E17</f>
        <v>132620</v>
      </c>
      <c r="G17" s="18" t="n">
        <f aca="false">SUM($F$6:F17)/$F$41</f>
        <v>0.644667159069754</v>
      </c>
      <c r="H17" s="30" t="str">
        <f aca="false">IF(G17&lt;=0.8, "A", IF(G17&lt;=0.95, "B", "C"))</f>
        <v>A</v>
      </c>
      <c r="I17" s="31" t="n">
        <v>0.226</v>
      </c>
      <c r="J17" s="30" t="str">
        <f aca="false">IF(I17&lt;=0.45, "X", IF(I17&lt;=0.85, "Y", "Z"))</f>
        <v>X</v>
      </c>
      <c r="K17" s="16" t="n">
        <v>26</v>
      </c>
      <c r="L17" s="16" t="n">
        <v>53</v>
      </c>
      <c r="M17" s="16" t="n">
        <f aca="false">ROUND(SQRT((2*E17*160)/(D17*0.2)), 0)</f>
        <v>153</v>
      </c>
      <c r="N17" s="15" t="str">
        <f aca="false">IF(H17="A", IF(J17="X", "JIT Automated Flow", "Continuous Buffer Review"), IF(H17="B", "Periodic Fixed Order", "Two-Bin Kanban"))</f>
        <v>JIT Automated Flow</v>
      </c>
    </row>
    <row r="18" customFormat="false" ht="18.75" hidden="false" customHeight="true" outlineLevel="0" collapsed="false">
      <c r="A18" s="10" t="s">
        <v>78</v>
      </c>
      <c r="B18" s="10" t="s">
        <v>79</v>
      </c>
      <c r="C18" s="10" t="s">
        <v>22</v>
      </c>
      <c r="D18" s="26" t="n">
        <v>115</v>
      </c>
      <c r="E18" s="11" t="n">
        <v>1398</v>
      </c>
      <c r="F18" s="12" t="n">
        <f aca="false">D18*E18</f>
        <v>160770</v>
      </c>
      <c r="G18" s="13" t="n">
        <f aca="false">SUM($F$6:F18)/$F$41</f>
        <v>0.676139585899836</v>
      </c>
      <c r="H18" s="27" t="str">
        <f aca="false">IF(G18&lt;=0.8, "A", IF(G18&lt;=0.95, "B", "C"))</f>
        <v>A</v>
      </c>
      <c r="I18" s="28" t="n">
        <v>0.321</v>
      </c>
      <c r="J18" s="27" t="str">
        <f aca="false">IF(I18&lt;=0.45, "X", IF(I18&lt;=0.85, "Y", "Z"))</f>
        <v>X</v>
      </c>
      <c r="K18" s="11" t="n">
        <v>30</v>
      </c>
      <c r="L18" s="11" t="n">
        <v>53</v>
      </c>
      <c r="M18" s="11" t="n">
        <f aca="false">ROUND(SQRT((2*E18*120)/(D18*0.2)), 0)</f>
        <v>121</v>
      </c>
      <c r="N18" s="10" t="str">
        <f aca="false">IF(H18="A", IF(J18="X", "JIT Automated Flow", "Continuous Buffer Review"), IF(H18="B", "Periodic Fixed Order", "Two-Bin Kanban"))</f>
        <v>JIT Automated Flow</v>
      </c>
    </row>
    <row r="19" customFormat="false" ht="18.75" hidden="false" customHeight="true" outlineLevel="0" collapsed="false">
      <c r="A19" s="15" t="s">
        <v>80</v>
      </c>
      <c r="B19" s="15" t="s">
        <v>81</v>
      </c>
      <c r="C19" s="15" t="s">
        <v>19</v>
      </c>
      <c r="D19" s="29" t="n">
        <v>110</v>
      </c>
      <c r="E19" s="16" t="n">
        <v>1380</v>
      </c>
      <c r="F19" s="17" t="n">
        <f aca="false">D19*E19</f>
        <v>151800</v>
      </c>
      <c r="G19" s="18" t="n">
        <f aca="false">SUM($F$6:F19)/$F$41</f>
        <v>0.70585604041751</v>
      </c>
      <c r="H19" s="30" t="str">
        <f aca="false">IF(G19&lt;=0.8, "A", IF(G19&lt;=0.95, "B", "C"))</f>
        <v>A</v>
      </c>
      <c r="I19" s="31" t="n">
        <v>0.245</v>
      </c>
      <c r="J19" s="30" t="str">
        <f aca="false">IF(I19&lt;=0.45, "X", IF(I19&lt;=0.85, "Y", "Z"))</f>
        <v>X</v>
      </c>
      <c r="K19" s="16" t="n">
        <v>21</v>
      </c>
      <c r="L19" s="16" t="n">
        <v>40</v>
      </c>
      <c r="M19" s="16" t="n">
        <f aca="false">ROUND(SQRT((2*E19*110)/(D19*0.16)), 0)</f>
        <v>131</v>
      </c>
      <c r="N19" s="15" t="str">
        <f aca="false">IF(H19="A", IF(J19="X", "JIT Automated Flow", "Continuous Buffer Review"), IF(H19="B", "Periodic Fixed Order", "Two-Bin Kanban"))</f>
        <v>JIT Automated Flow</v>
      </c>
    </row>
    <row r="20" customFormat="false" ht="18.75" hidden="false" customHeight="true" outlineLevel="0" collapsed="false">
      <c r="A20" s="10" t="s">
        <v>82</v>
      </c>
      <c r="B20" s="10" t="s">
        <v>83</v>
      </c>
      <c r="C20" s="10" t="s">
        <v>20</v>
      </c>
      <c r="D20" s="26" t="n">
        <v>118</v>
      </c>
      <c r="E20" s="11" t="n">
        <v>1351</v>
      </c>
      <c r="F20" s="12" t="n">
        <f aca="false">D20*E20</f>
        <v>159418</v>
      </c>
      <c r="G20" s="13" t="n">
        <f aca="false">SUM($F$6:F20)/$F$41</f>
        <v>0.737063798957027</v>
      </c>
      <c r="H20" s="27" t="str">
        <f aca="false">IF(G20&lt;=0.8, "A", IF(G20&lt;=0.95, "B", "C"))</f>
        <v>A</v>
      </c>
      <c r="I20" s="28" t="n">
        <v>0.229</v>
      </c>
      <c r="J20" s="27" t="str">
        <f aca="false">IF(I20&lt;=0.45, "X", IF(I20&lt;=0.85, "Y", "Z"))</f>
        <v>X</v>
      </c>
      <c r="K20" s="11" t="n">
        <v>14</v>
      </c>
      <c r="L20" s="11" t="n">
        <v>25</v>
      </c>
      <c r="M20" s="11" t="n">
        <f aca="false">ROUND(SQRT((2*E20*180)/(D20*0.16)), 0)</f>
        <v>161</v>
      </c>
      <c r="N20" s="10" t="str">
        <f aca="false">IF(H20="A", IF(J20="X", "JIT Automated Flow", "Continuous Buffer Review"), IF(H20="B", "Periodic Fixed Order", "Two-Bin Kanban"))</f>
        <v>JIT Automated Flow</v>
      </c>
    </row>
    <row r="21" customFormat="false" ht="18.75" hidden="false" customHeight="true" outlineLevel="0" collapsed="false">
      <c r="A21" s="15" t="s">
        <v>84</v>
      </c>
      <c r="B21" s="15" t="s">
        <v>85</v>
      </c>
      <c r="C21" s="15" t="s">
        <v>21</v>
      </c>
      <c r="D21" s="29" t="n">
        <v>92</v>
      </c>
      <c r="E21" s="16" t="n">
        <v>1573</v>
      </c>
      <c r="F21" s="17" t="n">
        <f aca="false">D21*E21</f>
        <v>144716</v>
      </c>
      <c r="G21" s="18" t="n">
        <f aca="false">SUM($F$6:F21)/$F$41</f>
        <v>0.76539348559721</v>
      </c>
      <c r="H21" s="30" t="str">
        <f aca="false">IF(G21&lt;=0.8, "A", IF(G21&lt;=0.95, "B", "C"))</f>
        <v>A</v>
      </c>
      <c r="I21" s="31" t="n">
        <v>0.294</v>
      </c>
      <c r="J21" s="30" t="str">
        <f aca="false">IF(I21&lt;=0.45, "X", IF(I21&lt;=0.85, "Y", "Z"))</f>
        <v>X</v>
      </c>
      <c r="K21" s="16" t="n">
        <v>24</v>
      </c>
      <c r="L21" s="16" t="n">
        <v>41</v>
      </c>
      <c r="M21" s="16" t="n">
        <f aca="false">ROUND(SQRT((2*E21*140)/(D21*0.18)), 0)</f>
        <v>163</v>
      </c>
      <c r="N21" s="15" t="str">
        <f aca="false">IF(H21="A", IF(J21="X", "JIT Automated Flow", "Continuous Buffer Review"), IF(H21="B", "Periodic Fixed Order", "Two-Bin Kanban"))</f>
        <v>JIT Automated Flow</v>
      </c>
    </row>
    <row r="22" customFormat="false" ht="18.75" hidden="false" customHeight="true" outlineLevel="0" collapsed="false">
      <c r="A22" s="10" t="s">
        <v>86</v>
      </c>
      <c r="B22" s="10" t="s">
        <v>87</v>
      </c>
      <c r="C22" s="10" t="s">
        <v>20</v>
      </c>
      <c r="D22" s="26" t="n">
        <v>112</v>
      </c>
      <c r="E22" s="11" t="n">
        <v>1295</v>
      </c>
      <c r="F22" s="12" t="n">
        <f aca="false">D22*E22</f>
        <v>145040</v>
      </c>
      <c r="G22" s="13" t="n">
        <f aca="false">SUM($F$6:F22)/$F$41</f>
        <v>0.793786598662055</v>
      </c>
      <c r="H22" s="27" t="str">
        <f aca="false">IF(G22&lt;=0.8, "A", IF(G22&lt;=0.95, "B", "C"))</f>
        <v>A</v>
      </c>
      <c r="I22" s="28" t="n">
        <v>0.267</v>
      </c>
      <c r="J22" s="27" t="str">
        <f aca="false">IF(I22&lt;=0.45, "X", IF(I22&lt;=0.85, "Y", "Z"))</f>
        <v>X</v>
      </c>
      <c r="K22" s="11" t="n">
        <v>21</v>
      </c>
      <c r="L22" s="11" t="n">
        <v>39</v>
      </c>
      <c r="M22" s="11" t="n">
        <f aca="false">ROUND(SQRT((2*E22*130)/(D22*0.17)), 0)</f>
        <v>133</v>
      </c>
      <c r="N22" s="10" t="str">
        <f aca="false">IF(H22="A", IF(J22="X", "JIT Automated Flow", "Continuous Buffer Review"), IF(H22="B", "Periodic Fixed Order", "Two-Bin Kanban"))</f>
        <v>JIT Automated Flow</v>
      </c>
    </row>
    <row r="23" customFormat="false" ht="18.75" hidden="false" customHeight="true" outlineLevel="0" collapsed="false">
      <c r="A23" s="15" t="s">
        <v>88</v>
      </c>
      <c r="B23" s="15" t="s">
        <v>89</v>
      </c>
      <c r="C23" s="15" t="s">
        <v>21</v>
      </c>
      <c r="D23" s="29" t="n">
        <v>98</v>
      </c>
      <c r="E23" s="16" t="n">
        <v>1372</v>
      </c>
      <c r="F23" s="17" t="n">
        <f aca="false">D23*E23</f>
        <v>134456</v>
      </c>
      <c r="G23" s="18" t="n">
        <f aca="false">SUM($F$6:F23)/$F$41</f>
        <v>0.8201077818546</v>
      </c>
      <c r="H23" s="30" t="str">
        <f aca="false">IF(G23&lt;=0.8, "A", IF(G23&lt;=0.95, "B", "C"))</f>
        <v>B</v>
      </c>
      <c r="I23" s="31" t="n">
        <v>0.253</v>
      </c>
      <c r="J23" s="30" t="str">
        <f aca="false">IF(I23&lt;=0.45, "X", IF(I23&lt;=0.85, "Y", "Z"))</f>
        <v>X</v>
      </c>
      <c r="K23" s="16" t="n">
        <v>22</v>
      </c>
      <c r="L23" s="16" t="n">
        <v>41</v>
      </c>
      <c r="M23" s="16" t="n">
        <f aca="false">ROUND(SQRT((2*E23*150)/(D23*0.2)), 0)</f>
        <v>145</v>
      </c>
      <c r="N23" s="15" t="str">
        <f aca="false">IF(H23="A", IF(J23="X", "JIT Automated Flow", "Continuous Buffer Review"), IF(H23="B", "Periodic Fixed Order", "Two-Bin Kanban"))</f>
        <v>Periodic Fixed Order</v>
      </c>
    </row>
    <row r="24" customFormat="false" ht="18.75" hidden="false" customHeight="true" outlineLevel="0" collapsed="false">
      <c r="A24" s="10" t="s">
        <v>90</v>
      </c>
      <c r="B24" s="10" t="s">
        <v>91</v>
      </c>
      <c r="C24" s="10" t="s">
        <v>20</v>
      </c>
      <c r="D24" s="26" t="n">
        <v>110</v>
      </c>
      <c r="E24" s="11" t="n">
        <v>1177</v>
      </c>
      <c r="F24" s="12" t="n">
        <f aca="false">D24*E24</f>
        <v>129470</v>
      </c>
      <c r="G24" s="13" t="n">
        <f aca="false">SUM($F$6:F24)/$F$41</f>
        <v>0.845452902845399</v>
      </c>
      <c r="H24" s="27" t="str">
        <f aca="false">IF(G24&lt;=0.8, "A", IF(G24&lt;=0.95, "B", "C"))</f>
        <v>B</v>
      </c>
      <c r="I24" s="28" t="n">
        <v>0.308</v>
      </c>
      <c r="J24" s="27" t="str">
        <f aca="false">IF(I24&lt;=0.45, "X", IF(I24&lt;=0.85, "Y", "Z"))</f>
        <v>X</v>
      </c>
      <c r="K24" s="11" t="n">
        <v>16</v>
      </c>
      <c r="L24" s="11" t="n">
        <v>26</v>
      </c>
      <c r="M24" s="11" t="n">
        <f aca="false">ROUND(SQRT((2*E24*150)/(D24*0.16)), 0)</f>
        <v>142</v>
      </c>
      <c r="N24" s="10" t="str">
        <f aca="false">IF(H24="A", IF(J24="X", "JIT Automated Flow", "Continuous Buffer Review"), IF(H24="B", "Periodic Fixed Order", "Two-Bin Kanban"))</f>
        <v>Periodic Fixed Order</v>
      </c>
    </row>
    <row r="25" customFormat="false" ht="18.75" hidden="false" customHeight="true" outlineLevel="0" collapsed="false">
      <c r="A25" s="15" t="s">
        <v>92</v>
      </c>
      <c r="B25" s="15" t="s">
        <v>93</v>
      </c>
      <c r="C25" s="15" t="s">
        <v>23</v>
      </c>
      <c r="D25" s="29" t="n">
        <v>82</v>
      </c>
      <c r="E25" s="16" t="n">
        <v>1468</v>
      </c>
      <c r="F25" s="17" t="n">
        <f aca="false">D25*E25</f>
        <v>120376</v>
      </c>
      <c r="G25" s="18" t="n">
        <f aca="false">SUM($F$6:F25)/$F$41</f>
        <v>0.869017777213117</v>
      </c>
      <c r="H25" s="30" t="str">
        <f aca="false">IF(G25&lt;=0.8, "A", IF(G25&lt;=0.95, "B", "C"))</f>
        <v>B</v>
      </c>
      <c r="I25" s="31" t="n">
        <v>0.27</v>
      </c>
      <c r="J25" s="30" t="str">
        <f aca="false">IF(I25&lt;=0.45, "X", IF(I25&lt;=0.85, "Y", "Z"))</f>
        <v>X</v>
      </c>
      <c r="K25" s="16" t="n">
        <v>15</v>
      </c>
      <c r="L25" s="16" t="n">
        <v>23</v>
      </c>
      <c r="M25" s="16" t="n">
        <f aca="false">ROUND(SQRT((2*E25*110)/(D25*0.28)), 0)</f>
        <v>119</v>
      </c>
      <c r="N25" s="15" t="str">
        <f aca="false">IF(H25="A", IF(J25="X", "JIT Automated Flow", "Continuous Buffer Review"), IF(H25="B", "Periodic Fixed Order", "Two-Bin Kanban"))</f>
        <v>Periodic Fixed Order</v>
      </c>
    </row>
    <row r="26" customFormat="false" ht="18.75" hidden="false" customHeight="true" outlineLevel="0" collapsed="false">
      <c r="A26" s="10" t="s">
        <v>94</v>
      </c>
      <c r="B26" s="10" t="s">
        <v>95</v>
      </c>
      <c r="C26" s="10" t="s">
        <v>20</v>
      </c>
      <c r="D26" s="26" t="n">
        <v>88</v>
      </c>
      <c r="E26" s="11" t="n">
        <v>1233</v>
      </c>
      <c r="F26" s="12" t="n">
        <f aca="false">D26*E26</f>
        <v>108504</v>
      </c>
      <c r="G26" s="13" t="n">
        <f aca="false">SUM($F$6:F26)/$F$41</f>
        <v>0.890258582094446</v>
      </c>
      <c r="H26" s="27" t="str">
        <f aca="false">IF(G26&lt;=0.8, "A", IF(G26&lt;=0.95, "B", "C"))</f>
        <v>B</v>
      </c>
      <c r="I26" s="28" t="n">
        <v>0.25</v>
      </c>
      <c r="J26" s="27" t="str">
        <f aca="false">IF(I26&lt;=0.45, "X", IF(I26&lt;=0.85, "Y", "Z"))</f>
        <v>X</v>
      </c>
      <c r="K26" s="11" t="n">
        <v>14</v>
      </c>
      <c r="L26" s="11" t="n">
        <v>24</v>
      </c>
      <c r="M26" s="11" t="n">
        <f aca="false">ROUND(SQRT((2*E26*140)/(D26*0.16)), 0)</f>
        <v>157</v>
      </c>
      <c r="N26" s="10" t="str">
        <f aca="false">IF(H26="A", IF(J26="X", "JIT Automated Flow", "Continuous Buffer Review"), IF(H26="B", "Periodic Fixed Order", "Two-Bin Kanban"))</f>
        <v>Periodic Fixed Order</v>
      </c>
    </row>
    <row r="27" customFormat="false" ht="18.75" hidden="false" customHeight="true" outlineLevel="0" collapsed="false">
      <c r="A27" s="15" t="s">
        <v>96</v>
      </c>
      <c r="B27" s="15" t="s">
        <v>97</v>
      </c>
      <c r="C27" s="15" t="s">
        <v>23</v>
      </c>
      <c r="D27" s="29" t="n">
        <v>52</v>
      </c>
      <c r="E27" s="16" t="n">
        <v>1360</v>
      </c>
      <c r="F27" s="17" t="n">
        <f aca="false">D27*E27</f>
        <v>70720</v>
      </c>
      <c r="G27" s="18" t="n">
        <f aca="false">SUM($F$6:F27)/$F$41</f>
        <v>0.904102769600968</v>
      </c>
      <c r="H27" s="30" t="str">
        <f aca="false">IF(G27&lt;=0.8, "A", IF(G27&lt;=0.95, "B", "C"))</f>
        <v>B</v>
      </c>
      <c r="I27" s="31" t="n">
        <v>0.348</v>
      </c>
      <c r="J27" s="30" t="str">
        <f aca="false">IF(I27&lt;=0.45, "X", IF(I27&lt;=0.85, "Y", "Z"))</f>
        <v>X</v>
      </c>
      <c r="K27" s="16" t="n">
        <v>17</v>
      </c>
      <c r="L27" s="16" t="n">
        <v>24</v>
      </c>
      <c r="M27" s="16" t="n">
        <f aca="false">ROUND(SQRT((2*E27*100)/(D27*0.32)), 0)</f>
        <v>128</v>
      </c>
      <c r="N27" s="15" t="str">
        <f aca="false">IF(H27="A", IF(J27="X", "JIT Automated Flow", "Continuous Buffer Review"), IF(H27="B", "Periodic Fixed Order", "Two-Bin Kanban"))</f>
        <v>Periodic Fixed Order</v>
      </c>
    </row>
    <row r="28" customFormat="false" ht="18.75" hidden="false" customHeight="true" outlineLevel="0" collapsed="false">
      <c r="A28" s="10" t="s">
        <v>98</v>
      </c>
      <c r="B28" s="10" t="s">
        <v>99</v>
      </c>
      <c r="C28" s="10" t="s">
        <v>23</v>
      </c>
      <c r="D28" s="26" t="n">
        <v>60</v>
      </c>
      <c r="E28" s="11" t="n">
        <v>1312</v>
      </c>
      <c r="F28" s="12" t="n">
        <f aca="false">D28*E28</f>
        <v>78720</v>
      </c>
      <c r="G28" s="13" t="n">
        <f aca="false">SUM($F$6:F28)/$F$41</f>
        <v>0.91951304166705</v>
      </c>
      <c r="H28" s="27" t="str">
        <f aca="false">IF(G28&lt;=0.8, "A", IF(G28&lt;=0.95, "B", "C"))</f>
        <v>B</v>
      </c>
      <c r="I28" s="28" t="n">
        <v>0.199</v>
      </c>
      <c r="J28" s="27" t="str">
        <f aca="false">IF(I28&lt;=0.45, "X", IF(I28&lt;=0.85, "Y", "Z"))</f>
        <v>X</v>
      </c>
      <c r="K28" s="11" t="n">
        <v>10</v>
      </c>
      <c r="L28" s="11" t="n">
        <v>17</v>
      </c>
      <c r="M28" s="11" t="n">
        <f aca="false">ROUND(SQRT((2*E28*120)/(D28*0.25)), 0)</f>
        <v>145</v>
      </c>
      <c r="N28" s="10" t="str">
        <f aca="false">IF(H28="A", IF(J28="X", "JIT Automated Flow", "Continuous Buffer Review"), IF(H28="B", "Periodic Fixed Order", "Two-Bin Kanban"))</f>
        <v>Periodic Fixed Order</v>
      </c>
    </row>
    <row r="29" customFormat="false" ht="18.75" hidden="false" customHeight="true" outlineLevel="0" collapsed="false">
      <c r="A29" s="15" t="s">
        <v>100</v>
      </c>
      <c r="B29" s="15" t="s">
        <v>101</v>
      </c>
      <c r="C29" s="15" t="s">
        <v>19</v>
      </c>
      <c r="D29" s="29" t="n">
        <v>50</v>
      </c>
      <c r="E29" s="16" t="n">
        <v>1322</v>
      </c>
      <c r="F29" s="17" t="n">
        <f aca="false">D29*E29</f>
        <v>66100</v>
      </c>
      <c r="G29" s="18" t="n">
        <f aca="false">SUM($F$6:F29)/$F$41</f>
        <v>0.932452815340425</v>
      </c>
      <c r="H29" s="30" t="str">
        <f aca="false">IF(G29&lt;=0.8, "A", IF(G29&lt;=0.95, "B", "C"))</f>
        <v>B</v>
      </c>
      <c r="I29" s="31" t="n">
        <v>0.252</v>
      </c>
      <c r="J29" s="30" t="str">
        <f aca="false">IF(I29&lt;=0.45, "X", IF(I29&lt;=0.85, "Y", "Z"))</f>
        <v>X</v>
      </c>
      <c r="K29" s="16" t="n">
        <v>18</v>
      </c>
      <c r="L29" s="16" t="n">
        <v>32</v>
      </c>
      <c r="M29" s="16" t="n">
        <f aca="false">ROUND(SQRT((2*E29*140)/(D29*0.18)), 0)</f>
        <v>203</v>
      </c>
      <c r="N29" s="15" t="str">
        <f aca="false">IF(H29="A", IF(J29="X", "JIT Automated Flow", "Continuous Buffer Review"), IF(H29="B", "Periodic Fixed Order", "Two-Bin Kanban"))</f>
        <v>Periodic Fixed Order</v>
      </c>
    </row>
    <row r="30" customFormat="false" ht="18.75" hidden="false" customHeight="true" outlineLevel="0" collapsed="false">
      <c r="A30" s="10" t="s">
        <v>102</v>
      </c>
      <c r="B30" s="10" t="s">
        <v>103</v>
      </c>
      <c r="C30" s="10" t="s">
        <v>23</v>
      </c>
      <c r="D30" s="26" t="n">
        <v>44</v>
      </c>
      <c r="E30" s="11" t="n">
        <v>1255</v>
      </c>
      <c r="F30" s="12" t="n">
        <f aca="false">D30*E30</f>
        <v>55220</v>
      </c>
      <c r="G30" s="13" t="n">
        <f aca="false">SUM($F$6:F30)/$F$41</f>
        <v>0.943262714012796</v>
      </c>
      <c r="H30" s="27" t="str">
        <f aca="false">IF(G30&lt;=0.8, "A", IF(G30&lt;=0.95, "B", "C"))</f>
        <v>B</v>
      </c>
      <c r="I30" s="28" t="n">
        <v>0.233</v>
      </c>
      <c r="J30" s="27" t="str">
        <f aca="false">IF(I30&lt;=0.45, "X", IF(I30&lt;=0.85, "Y", "Z"))</f>
        <v>X</v>
      </c>
      <c r="K30" s="11" t="n">
        <v>11</v>
      </c>
      <c r="L30" s="11" t="n">
        <v>18</v>
      </c>
      <c r="M30" s="11" t="n">
        <f aca="false">ROUND(SQRT((2*E30*90)/(D30*0.3)), 0)</f>
        <v>131</v>
      </c>
      <c r="N30" s="10" t="str">
        <f aca="false">IF(H30="A", IF(J30="X", "JIT Automated Flow", "Continuous Buffer Review"), IF(H30="B", "Periodic Fixed Order", "Two-Bin Kanban"))</f>
        <v>Periodic Fixed Order</v>
      </c>
    </row>
    <row r="31" customFormat="false" ht="18.75" hidden="false" customHeight="true" outlineLevel="0" collapsed="false">
      <c r="A31" s="15" t="s">
        <v>104</v>
      </c>
      <c r="B31" s="15" t="s">
        <v>105</v>
      </c>
      <c r="C31" s="15" t="s">
        <v>23</v>
      </c>
      <c r="D31" s="29" t="n">
        <v>42</v>
      </c>
      <c r="E31" s="16" t="n">
        <v>1400</v>
      </c>
      <c r="F31" s="17" t="n">
        <f aca="false">D31*E31</f>
        <v>58800</v>
      </c>
      <c r="G31" s="18" t="n">
        <f aca="false">SUM($F$6:F31)/$F$41</f>
        <v>0.954773435525571</v>
      </c>
      <c r="H31" s="30" t="str">
        <f aca="false">IF(G31&lt;=0.8, "A", IF(G31&lt;=0.95, "B", "C"))</f>
        <v>C</v>
      </c>
      <c r="I31" s="31" t="n">
        <v>0.273</v>
      </c>
      <c r="J31" s="30" t="str">
        <f aca="false">IF(I31&lt;=0.45, "X", IF(I31&lt;=0.85, "Y", "Z"))</f>
        <v>X</v>
      </c>
      <c r="K31" s="16" t="n">
        <v>14</v>
      </c>
      <c r="L31" s="16" t="n">
        <v>22</v>
      </c>
      <c r="M31" s="16" t="n">
        <f aca="false">ROUND(SQRT((2*E31*120)/(D31*0.3)), 0)</f>
        <v>163</v>
      </c>
      <c r="N31" s="15" t="str">
        <f aca="false">IF(H31="A", IF(J31="X", "JIT Automated Flow", "Continuous Buffer Review"), IF(H31="B", "Periodic Fixed Order", "Two-Bin Kanban"))</f>
        <v>Two-Bin Kanban</v>
      </c>
    </row>
    <row r="32" customFormat="false" ht="18.75" hidden="false" customHeight="true" outlineLevel="0" collapsed="false">
      <c r="A32" s="10" t="s">
        <v>106</v>
      </c>
      <c r="B32" s="10" t="s">
        <v>107</v>
      </c>
      <c r="C32" s="10" t="s">
        <v>21</v>
      </c>
      <c r="D32" s="26" t="n">
        <v>36</v>
      </c>
      <c r="E32" s="11" t="n">
        <v>1255</v>
      </c>
      <c r="F32" s="12" t="n">
        <f aca="false">D32*E32</f>
        <v>45180</v>
      </c>
      <c r="G32" s="13" t="n">
        <f aca="false">SUM($F$6:F32)/$F$41</f>
        <v>0.963617898075693</v>
      </c>
      <c r="H32" s="27" t="str">
        <f aca="false">IF(G32&lt;=0.8, "A", IF(G32&lt;=0.95, "B", "C"))</f>
        <v>C</v>
      </c>
      <c r="I32" s="28" t="n">
        <v>0.254</v>
      </c>
      <c r="J32" s="27" t="str">
        <f aca="false">IF(I32&lt;=0.45, "X", IF(I32&lt;=0.85, "Y", "Z"))</f>
        <v>X</v>
      </c>
      <c r="K32" s="11" t="n">
        <v>15</v>
      </c>
      <c r="L32" s="11" t="n">
        <v>25</v>
      </c>
      <c r="M32" s="11" t="n">
        <f aca="false">ROUND(SQRT((2*E32*110)/(D32*0.18)), 0)</f>
        <v>206</v>
      </c>
      <c r="N32" s="10" t="str">
        <f aca="false">IF(H32="A", IF(J32="X", "JIT Automated Flow", "Continuous Buffer Review"), IF(H32="B", "Periodic Fixed Order", "Two-Bin Kanban"))</f>
        <v>Two-Bin Kanban</v>
      </c>
    </row>
    <row r="33" customFormat="false" ht="18.75" hidden="false" customHeight="true" outlineLevel="0" collapsed="false">
      <c r="A33" s="15" t="s">
        <v>108</v>
      </c>
      <c r="B33" s="15" t="s">
        <v>109</v>
      </c>
      <c r="C33" s="15" t="s">
        <v>21</v>
      </c>
      <c r="D33" s="29" t="n">
        <v>28</v>
      </c>
      <c r="E33" s="16" t="n">
        <v>1482</v>
      </c>
      <c r="F33" s="17" t="n">
        <f aca="false">D33*E33</f>
        <v>41496</v>
      </c>
      <c r="G33" s="18" t="n">
        <f aca="false">SUM($F$6:F33)/$F$41</f>
        <v>0.971741178686137</v>
      </c>
      <c r="H33" s="30" t="str">
        <f aca="false">IF(G33&lt;=0.8, "A", IF(G33&lt;=0.95, "B", "C"))</f>
        <v>C</v>
      </c>
      <c r="I33" s="31" t="n">
        <v>0.214</v>
      </c>
      <c r="J33" s="30" t="str">
        <f aca="false">IF(I33&lt;=0.45, "X", IF(I33&lt;=0.85, "Y", "Z"))</f>
        <v>X</v>
      </c>
      <c r="K33" s="16" t="n">
        <v>18</v>
      </c>
      <c r="L33" s="16" t="n">
        <v>34</v>
      </c>
      <c r="M33" s="16" t="n">
        <f aca="false">ROUND(SQRT((2*E33*120)/(D33*0.2)), 0)</f>
        <v>252</v>
      </c>
      <c r="N33" s="15" t="str">
        <f aca="false">IF(H33="A", IF(J33="X", "JIT Automated Flow", "Continuous Buffer Review"), IF(H33="B", "Periodic Fixed Order", "Two-Bin Kanban"))</f>
        <v>Two-Bin Kanban</v>
      </c>
    </row>
    <row r="34" customFormat="false" ht="18.75" hidden="false" customHeight="true" outlineLevel="0" collapsed="false">
      <c r="A34" s="10" t="s">
        <v>110</v>
      </c>
      <c r="B34" s="10" t="s">
        <v>111</v>
      </c>
      <c r="C34" s="10" t="s">
        <v>23</v>
      </c>
      <c r="D34" s="26" t="n">
        <v>28</v>
      </c>
      <c r="E34" s="11" t="n">
        <v>1240</v>
      </c>
      <c r="F34" s="12" t="n">
        <f aca="false">D34*E34</f>
        <v>34720</v>
      </c>
      <c r="G34" s="13" t="n">
        <f aca="false">SUM($F$6:F34)/$F$41</f>
        <v>0.978537985674633</v>
      </c>
      <c r="H34" s="27" t="str">
        <f aca="false">IF(G34&lt;=0.8, "A", IF(G34&lt;=0.95, "B", "C"))</f>
        <v>C</v>
      </c>
      <c r="I34" s="28" t="n">
        <v>0.224</v>
      </c>
      <c r="J34" s="27" t="str">
        <f aca="false">IF(I34&lt;=0.45, "X", IF(I34&lt;=0.85, "Y", "Z"))</f>
        <v>X</v>
      </c>
      <c r="K34" s="11" t="n">
        <v>10</v>
      </c>
      <c r="L34" s="11" t="n">
        <v>17</v>
      </c>
      <c r="M34" s="11" t="n">
        <f aca="false">ROUND(SQRT((2*E34*90)/(D34*0.35)), 0)</f>
        <v>151</v>
      </c>
      <c r="N34" s="10" t="str">
        <f aca="false">IF(H34="A", IF(J34="X", "JIT Automated Flow", "Continuous Buffer Review"), IF(H34="B", "Periodic Fixed Order", "Two-Bin Kanban"))</f>
        <v>Two-Bin Kanban</v>
      </c>
    </row>
    <row r="35" customFormat="false" ht="18.75" hidden="false" customHeight="true" outlineLevel="0" collapsed="false">
      <c r="A35" s="15" t="s">
        <v>112</v>
      </c>
      <c r="B35" s="15" t="s">
        <v>113</v>
      </c>
      <c r="C35" s="15" t="s">
        <v>23</v>
      </c>
      <c r="D35" s="29" t="n">
        <v>28</v>
      </c>
      <c r="E35" s="16" t="n">
        <v>1326</v>
      </c>
      <c r="F35" s="17" t="n">
        <f aca="false">D35*E35</f>
        <v>37128</v>
      </c>
      <c r="G35" s="18" t="n">
        <f aca="false">SUM($F$6:F35)/$F$41</f>
        <v>0.985806184115557</v>
      </c>
      <c r="H35" s="30" t="str">
        <f aca="false">IF(G35&lt;=0.8, "A", IF(G35&lt;=0.95, "B", "C"))</f>
        <v>C</v>
      </c>
      <c r="I35" s="31" t="n">
        <v>0.319</v>
      </c>
      <c r="J35" s="30" t="str">
        <f aca="false">IF(I35&lt;=0.45, "X", IF(I35&lt;=0.85, "Y", "Z"))</f>
        <v>X</v>
      </c>
      <c r="K35" s="16" t="n">
        <v>15</v>
      </c>
      <c r="L35" s="16" t="n">
        <v>22</v>
      </c>
      <c r="M35" s="16" t="n">
        <f aca="false">ROUND(SQRT((2*E35*100)/(D35*0.28)), 0)</f>
        <v>184</v>
      </c>
      <c r="N35" s="15" t="str">
        <f aca="false">IF(H35="A", IF(J35="X", "JIT Automated Flow", "Continuous Buffer Review"), IF(H35="B", "Periodic Fixed Order", "Two-Bin Kanban"))</f>
        <v>Two-Bin Kanban</v>
      </c>
    </row>
    <row r="36" customFormat="false" ht="18.75" hidden="false" customHeight="true" outlineLevel="0" collapsed="false">
      <c r="A36" s="10" t="s">
        <v>114</v>
      </c>
      <c r="B36" s="10" t="s">
        <v>115</v>
      </c>
      <c r="C36" s="10" t="s">
        <v>19</v>
      </c>
      <c r="D36" s="26" t="n">
        <v>21</v>
      </c>
      <c r="E36" s="11" t="n">
        <v>1202</v>
      </c>
      <c r="F36" s="12" t="n">
        <f aca="false">D36*E36</f>
        <v>25242</v>
      </c>
      <c r="G36" s="13" t="n">
        <f aca="false">SUM($F$6:F36)/$F$41</f>
        <v>0.990747572422112</v>
      </c>
      <c r="H36" s="27" t="str">
        <f aca="false">IF(G36&lt;=0.8, "A", IF(G36&lt;=0.95, "B", "C"))</f>
        <v>C</v>
      </c>
      <c r="I36" s="28" t="n">
        <v>0.278</v>
      </c>
      <c r="J36" s="27" t="str">
        <f aca="false">IF(I36&lt;=0.45, "X", IF(I36&lt;=0.85, "Y", "Z"))</f>
        <v>X</v>
      </c>
      <c r="K36" s="11" t="n">
        <v>18</v>
      </c>
      <c r="L36" s="11" t="n">
        <v>31</v>
      </c>
      <c r="M36" s="11" t="n">
        <f aca="false">ROUND(SQRT((2*E36*120)/(D36*0.15)), 0)</f>
        <v>303</v>
      </c>
      <c r="N36" s="10" t="str">
        <f aca="false">IF(H36="A", IF(J36="X", "JIT Automated Flow", "Continuous Buffer Review"), IF(H36="B", "Periodic Fixed Order", "Two-Bin Kanban"))</f>
        <v>Two-Bin Kanban</v>
      </c>
    </row>
    <row r="37" customFormat="false" ht="18.75" hidden="false" customHeight="true" outlineLevel="0" collapsed="false">
      <c r="A37" s="15" t="s">
        <v>116</v>
      </c>
      <c r="B37" s="15" t="s">
        <v>117</v>
      </c>
      <c r="C37" s="15" t="s">
        <v>22</v>
      </c>
      <c r="D37" s="29" t="n">
        <v>16</v>
      </c>
      <c r="E37" s="16" t="n">
        <v>1437</v>
      </c>
      <c r="F37" s="17" t="n">
        <f aca="false">D37*E37</f>
        <v>22992</v>
      </c>
      <c r="G37" s="18" t="n">
        <f aca="false">SUM($F$6:F37)/$F$41</f>
        <v>0.995248499446291</v>
      </c>
      <c r="H37" s="30" t="str">
        <f aca="false">IF(G37&lt;=0.8, "A", IF(G37&lt;=0.95, "B", "C"))</f>
        <v>C</v>
      </c>
      <c r="I37" s="31" t="n">
        <v>0.246</v>
      </c>
      <c r="J37" s="30" t="str">
        <f aca="false">IF(I37&lt;=0.45, "X", IF(I37&lt;=0.85, "Y", "Z"))</f>
        <v>X</v>
      </c>
      <c r="K37" s="16" t="n">
        <v>25</v>
      </c>
      <c r="L37" s="16" t="n">
        <v>49</v>
      </c>
      <c r="M37" s="16" t="n">
        <f aca="false">ROUND(SQRT((2*E37*80)/(D37*0.2)), 0)</f>
        <v>268</v>
      </c>
      <c r="N37" s="15" t="str">
        <f aca="false">IF(H37="A", IF(J37="X", "JIT Automated Flow", "Continuous Buffer Review"), IF(H37="B", "Periodic Fixed Order", "Two-Bin Kanban"))</f>
        <v>Two-Bin Kanban</v>
      </c>
    </row>
    <row r="38" customFormat="false" ht="18.75" hidden="false" customHeight="true" outlineLevel="0" collapsed="false">
      <c r="A38" s="10" t="s">
        <v>118</v>
      </c>
      <c r="B38" s="10" t="s">
        <v>119</v>
      </c>
      <c r="C38" s="10" t="s">
        <v>22</v>
      </c>
      <c r="D38" s="26" t="n">
        <v>8</v>
      </c>
      <c r="E38" s="11" t="n">
        <v>1326</v>
      </c>
      <c r="F38" s="12" t="n">
        <f aca="false">D38*E38</f>
        <v>10608</v>
      </c>
      <c r="G38" s="13" t="n">
        <f aca="false">SUM($F$6:F38)/$F$41</f>
        <v>0.997325127572269</v>
      </c>
      <c r="H38" s="27" t="str">
        <f aca="false">IF(G38&lt;=0.8, "A", IF(G38&lt;=0.95, "B", "C"))</f>
        <v>C</v>
      </c>
      <c r="I38" s="28" t="n">
        <v>0.337</v>
      </c>
      <c r="J38" s="27" t="str">
        <f aca="false">IF(I38&lt;=0.45, "X", IF(I38&lt;=0.85, "Y", "Z"))</f>
        <v>X</v>
      </c>
      <c r="K38" s="11" t="n">
        <v>33</v>
      </c>
      <c r="L38" s="11" t="n">
        <v>58</v>
      </c>
      <c r="M38" s="11" t="n">
        <f aca="false">ROUND(SQRT((2*E38*95)/(D38*0.22)), 0)</f>
        <v>378</v>
      </c>
      <c r="N38" s="10" t="str">
        <f aca="false">IF(H38="A", IF(J38="X", "JIT Automated Flow", "Continuous Buffer Review"), IF(H38="B", "Periodic Fixed Order", "Two-Bin Kanban"))</f>
        <v>Two-Bin Kanban</v>
      </c>
    </row>
    <row r="39" customFormat="false" ht="18.75" hidden="false" customHeight="true" outlineLevel="0" collapsed="false">
      <c r="A39" s="15" t="s">
        <v>120</v>
      </c>
      <c r="B39" s="15" t="s">
        <v>121</v>
      </c>
      <c r="C39" s="15" t="s">
        <v>22</v>
      </c>
      <c r="D39" s="29" t="n">
        <v>6.5</v>
      </c>
      <c r="E39" s="16" t="n">
        <v>1162</v>
      </c>
      <c r="F39" s="17" t="n">
        <f aca="false">D39*E39</f>
        <v>7553</v>
      </c>
      <c r="G39" s="18" t="n">
        <f aca="false">SUM($F$6:F39)/$F$41</f>
        <v>0.998803707157065</v>
      </c>
      <c r="H39" s="30" t="str">
        <f aca="false">IF(G39&lt;=0.8, "A", IF(G39&lt;=0.95, "B", "C"))</f>
        <v>C</v>
      </c>
      <c r="I39" s="31" t="n">
        <v>0.275</v>
      </c>
      <c r="J39" s="30" t="str">
        <f aca="false">IF(I39&lt;=0.45, "X", IF(I39&lt;=0.85, "Y", "Z"))</f>
        <v>X</v>
      </c>
      <c r="K39" s="16" t="n">
        <v>25</v>
      </c>
      <c r="L39" s="16" t="n">
        <v>47</v>
      </c>
      <c r="M39" s="16" t="n">
        <f aca="false">ROUND(SQRT((2*E39*90)/(D39*0.22)), 0)</f>
        <v>382</v>
      </c>
      <c r="N39" s="15" t="str">
        <f aca="false">IF(H39="A", IF(J39="X", "JIT Automated Flow", "Continuous Buffer Review"), IF(H39="B", "Periodic Fixed Order", "Two-Bin Kanban"))</f>
        <v>Two-Bin Kanban</v>
      </c>
    </row>
    <row r="40" customFormat="false" ht="18.75" hidden="false" customHeight="true" outlineLevel="0" collapsed="false">
      <c r="A40" s="10" t="s">
        <v>122</v>
      </c>
      <c r="B40" s="10" t="s">
        <v>123</v>
      </c>
      <c r="C40" s="10" t="s">
        <v>22</v>
      </c>
      <c r="D40" s="26" t="n">
        <v>4.5</v>
      </c>
      <c r="E40" s="11" t="n">
        <v>1358</v>
      </c>
      <c r="F40" s="12" t="n">
        <f aca="false">D40*E40</f>
        <v>6111</v>
      </c>
      <c r="G40" s="13" t="n">
        <f aca="false">SUM($F$6:F40)/$F$41</f>
        <v>1</v>
      </c>
      <c r="H40" s="27" t="str">
        <f aca="false">IF(G40&lt;=0.8, "A", IF(G40&lt;=0.95, "B", "C"))</f>
        <v>C</v>
      </c>
      <c r="I40" s="28" t="n">
        <v>0.177</v>
      </c>
      <c r="J40" s="27" t="str">
        <f aca="false">IF(I40&lt;=0.45, "X", IF(I40&lt;=0.85, "Y", "Z"))</f>
        <v>X</v>
      </c>
      <c r="K40" s="11" t="n">
        <v>22</v>
      </c>
      <c r="L40" s="11" t="n">
        <v>48</v>
      </c>
      <c r="M40" s="11" t="n">
        <f aca="false">ROUND(SQRT((2*E40*85)/(D40*0.22)), 0)</f>
        <v>483</v>
      </c>
      <c r="N40" s="10" t="str">
        <f aca="false">IF(H40="A", IF(J40="X", "JIT Automated Flow", "Continuous Buffer Review"), IF(H40="B", "Periodic Fixed Order", "Two-Bin Kanban"))</f>
        <v>Two-Bin Kanban</v>
      </c>
    </row>
    <row r="41" customFormat="false" ht="21.75" hidden="false" customHeight="true" outlineLevel="0" collapsed="false">
      <c r="A41" s="20" t="s">
        <v>124</v>
      </c>
      <c r="B41" s="20"/>
      <c r="C41" s="20"/>
      <c r="D41" s="32" t="n">
        <f aca="false">AVERAGE(D6:D40)</f>
        <v>105.771428571429</v>
      </c>
      <c r="E41" s="21" t="n">
        <f aca="false">SUM(E6:E40)</f>
        <v>47650</v>
      </c>
      <c r="F41" s="22" t="n">
        <f aca="false">SUM(F6:F40)</f>
        <v>5108281</v>
      </c>
      <c r="G41" s="23" t="n">
        <v>1</v>
      </c>
      <c r="H41" s="33"/>
      <c r="I41" s="34" t="n">
        <f aca="false">AVERAGE(I6:I40)</f>
        <v>0.266628571428571</v>
      </c>
      <c r="J41" s="33"/>
      <c r="K41" s="21" t="n">
        <f aca="false">SUM(K6:K40)</f>
        <v>681</v>
      </c>
      <c r="L41" s="21" t="n">
        <f aca="false">SUM(L6:L40)</f>
        <v>1202</v>
      </c>
      <c r="M41" s="21" t="n">
        <f aca="false">AVERAGE(M6:M40)</f>
        <v>176.028571428571</v>
      </c>
      <c r="N41" s="20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8" min="7" style="0" width="22"/>
    <col collapsed="false" customWidth="true" hidden="false" outlineLevel="0" max="9" min="9" style="0" width="13"/>
    <col collapsed="false" customWidth="true" hidden="false" outlineLevel="0" max="10" min="10" style="0" width="25"/>
    <col collapsed="false" customWidth="true" hidden="false" outlineLevel="0" max="11" min="11" style="0" width="42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25" t="s">
        <v>127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5" customFormat="false" ht="21.75" hidden="false" customHeight="true" outlineLevel="0" collapsed="false">
      <c r="A5" s="9" t="s">
        <v>128</v>
      </c>
      <c r="B5" s="9" t="s">
        <v>129</v>
      </c>
      <c r="C5" s="9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9" t="s">
        <v>135</v>
      </c>
      <c r="I5" s="9" t="s">
        <v>31</v>
      </c>
      <c r="J5" s="9" t="s">
        <v>136</v>
      </c>
      <c r="K5" s="9" t="s">
        <v>137</v>
      </c>
    </row>
    <row r="6" customFormat="false" ht="18.75" hidden="false" customHeight="true" outlineLevel="0" collapsed="false">
      <c r="A6" s="10" t="s">
        <v>138</v>
      </c>
      <c r="B6" s="10" t="s">
        <v>139</v>
      </c>
      <c r="C6" s="10" t="s">
        <v>140</v>
      </c>
      <c r="D6" s="10" t="s">
        <v>35</v>
      </c>
      <c r="E6" s="10" t="s">
        <v>141</v>
      </c>
      <c r="F6" s="11" t="n">
        <v>9</v>
      </c>
      <c r="G6" s="11" t="n">
        <v>21</v>
      </c>
      <c r="H6" s="26" t="n">
        <v>98564.2</v>
      </c>
      <c r="I6" s="26" t="n">
        <f aca="false">H6/G6</f>
        <v>4693.53333333333</v>
      </c>
      <c r="J6" s="10" t="s">
        <v>142</v>
      </c>
      <c r="K6" s="10" t="s">
        <v>143</v>
      </c>
    </row>
    <row r="7" customFormat="false" ht="18.75" hidden="false" customHeight="true" outlineLevel="0" collapsed="false">
      <c r="A7" s="15" t="s">
        <v>144</v>
      </c>
      <c r="B7" s="15" t="s">
        <v>145</v>
      </c>
      <c r="C7" s="15" t="s">
        <v>146</v>
      </c>
      <c r="D7" s="15" t="s">
        <v>34</v>
      </c>
      <c r="E7" s="15" t="s">
        <v>141</v>
      </c>
      <c r="F7" s="16" t="n">
        <v>23</v>
      </c>
      <c r="G7" s="16" t="n">
        <v>23</v>
      </c>
      <c r="H7" s="29" t="n">
        <v>95732.44</v>
      </c>
      <c r="I7" s="29" t="n">
        <f aca="false">H7/G7</f>
        <v>4162.28</v>
      </c>
      <c r="J7" s="15" t="s">
        <v>142</v>
      </c>
      <c r="K7" s="15" t="s">
        <v>143</v>
      </c>
    </row>
    <row r="8" customFormat="false" ht="18.75" hidden="false" customHeight="true" outlineLevel="0" collapsed="false">
      <c r="A8" s="10" t="s">
        <v>147</v>
      </c>
      <c r="B8" s="10" t="s">
        <v>148</v>
      </c>
      <c r="C8" s="10" t="s">
        <v>149</v>
      </c>
      <c r="D8" s="10" t="s">
        <v>35</v>
      </c>
      <c r="E8" s="10" t="s">
        <v>141</v>
      </c>
      <c r="F8" s="11" t="n">
        <v>11</v>
      </c>
      <c r="G8" s="11" t="n">
        <v>25</v>
      </c>
      <c r="H8" s="26" t="n">
        <v>95676.78</v>
      </c>
      <c r="I8" s="26" t="n">
        <f aca="false">H8/G8</f>
        <v>3827.0712</v>
      </c>
      <c r="J8" s="10" t="s">
        <v>142</v>
      </c>
      <c r="K8" s="10" t="s">
        <v>143</v>
      </c>
    </row>
    <row r="9" customFormat="false" ht="18.75" hidden="false" customHeight="true" outlineLevel="0" collapsed="false">
      <c r="A9" s="15" t="s">
        <v>150</v>
      </c>
      <c r="B9" s="15" t="s">
        <v>151</v>
      </c>
      <c r="C9" s="15" t="s">
        <v>152</v>
      </c>
      <c r="D9" s="15" t="s">
        <v>35</v>
      </c>
      <c r="E9" s="15" t="s">
        <v>141</v>
      </c>
      <c r="F9" s="16" t="n">
        <v>8</v>
      </c>
      <c r="G9" s="16" t="n">
        <v>23</v>
      </c>
      <c r="H9" s="29" t="n">
        <v>84562.26</v>
      </c>
      <c r="I9" s="29" t="n">
        <f aca="false">H9/G9</f>
        <v>3676.62</v>
      </c>
      <c r="J9" s="15" t="s">
        <v>142</v>
      </c>
      <c r="K9" s="15" t="s">
        <v>143</v>
      </c>
    </row>
    <row r="10" customFormat="false" ht="18.75" hidden="false" customHeight="true" outlineLevel="0" collapsed="false">
      <c r="A10" s="10" t="s">
        <v>153</v>
      </c>
      <c r="B10" s="10" t="s">
        <v>154</v>
      </c>
      <c r="C10" s="10" t="s">
        <v>155</v>
      </c>
      <c r="D10" s="10" t="s">
        <v>34</v>
      </c>
      <c r="E10" s="10" t="s">
        <v>141</v>
      </c>
      <c r="F10" s="11" t="n">
        <v>4</v>
      </c>
      <c r="G10" s="11" t="n">
        <v>23</v>
      </c>
      <c r="H10" s="26" t="n">
        <v>83682.74</v>
      </c>
      <c r="I10" s="26" t="n">
        <f aca="false">H10/G10</f>
        <v>3638.38</v>
      </c>
      <c r="J10" s="10" t="s">
        <v>142</v>
      </c>
      <c r="K10" s="10" t="s">
        <v>143</v>
      </c>
    </row>
    <row r="11" customFormat="false" ht="18.75" hidden="false" customHeight="true" outlineLevel="0" collapsed="false">
      <c r="A11" s="15" t="s">
        <v>156</v>
      </c>
      <c r="B11" s="15" t="s">
        <v>157</v>
      </c>
      <c r="C11" s="15" t="s">
        <v>140</v>
      </c>
      <c r="D11" s="15" t="s">
        <v>35</v>
      </c>
      <c r="E11" s="15" t="s">
        <v>141</v>
      </c>
      <c r="F11" s="16" t="n">
        <v>13</v>
      </c>
      <c r="G11" s="16" t="n">
        <v>22</v>
      </c>
      <c r="H11" s="29" t="n">
        <v>82452.24</v>
      </c>
      <c r="I11" s="29" t="n">
        <f aca="false">H11/G11</f>
        <v>3747.82909090909</v>
      </c>
      <c r="J11" s="15" t="s">
        <v>142</v>
      </c>
      <c r="K11" s="15" t="s">
        <v>143</v>
      </c>
    </row>
    <row r="12" customFormat="false" ht="18.75" hidden="false" customHeight="true" outlineLevel="0" collapsed="false">
      <c r="A12" s="10" t="s">
        <v>158</v>
      </c>
      <c r="B12" s="10" t="s">
        <v>159</v>
      </c>
      <c r="C12" s="10" t="s">
        <v>160</v>
      </c>
      <c r="D12" s="10" t="s">
        <v>36</v>
      </c>
      <c r="E12" s="10" t="s">
        <v>141</v>
      </c>
      <c r="F12" s="11" t="n">
        <v>20</v>
      </c>
      <c r="G12" s="11" t="n">
        <v>18</v>
      </c>
      <c r="H12" s="26" t="n">
        <v>76815.86</v>
      </c>
      <c r="I12" s="26" t="n">
        <f aca="false">H12/G12</f>
        <v>4267.54777777778</v>
      </c>
      <c r="J12" s="10" t="s">
        <v>142</v>
      </c>
      <c r="K12" s="10" t="s">
        <v>143</v>
      </c>
    </row>
    <row r="13" customFormat="false" ht="18.75" hidden="false" customHeight="true" outlineLevel="0" collapsed="false">
      <c r="A13" s="15" t="s">
        <v>161</v>
      </c>
      <c r="B13" s="15" t="s">
        <v>162</v>
      </c>
      <c r="C13" s="15" t="s">
        <v>163</v>
      </c>
      <c r="D13" s="15" t="s">
        <v>36</v>
      </c>
      <c r="E13" s="15" t="s">
        <v>141</v>
      </c>
      <c r="F13" s="16" t="n">
        <v>8</v>
      </c>
      <c r="G13" s="16" t="n">
        <v>19</v>
      </c>
      <c r="H13" s="29" t="n">
        <v>71375.44</v>
      </c>
      <c r="I13" s="29" t="n">
        <f aca="false">H13/G13</f>
        <v>3756.60210526316</v>
      </c>
      <c r="J13" s="15" t="s">
        <v>142</v>
      </c>
      <c r="K13" s="15" t="s">
        <v>143</v>
      </c>
    </row>
    <row r="14" customFormat="false" ht="18.75" hidden="false" customHeight="true" outlineLevel="0" collapsed="false">
      <c r="A14" s="10" t="s">
        <v>164</v>
      </c>
      <c r="B14" s="10" t="s">
        <v>165</v>
      </c>
      <c r="C14" s="10" t="s">
        <v>166</v>
      </c>
      <c r="D14" s="10" t="s">
        <v>35</v>
      </c>
      <c r="E14" s="10" t="s">
        <v>141</v>
      </c>
      <c r="F14" s="11" t="n">
        <v>2</v>
      </c>
      <c r="G14" s="11" t="n">
        <v>24</v>
      </c>
      <c r="H14" s="26" t="n">
        <v>71092.54</v>
      </c>
      <c r="I14" s="26" t="n">
        <f aca="false">H14/G14</f>
        <v>2962.18916666667</v>
      </c>
      <c r="J14" s="10" t="s">
        <v>142</v>
      </c>
      <c r="K14" s="10" t="s">
        <v>143</v>
      </c>
    </row>
    <row r="15" customFormat="false" ht="18.75" hidden="false" customHeight="true" outlineLevel="0" collapsed="false">
      <c r="A15" s="15" t="s">
        <v>167</v>
      </c>
      <c r="B15" s="15" t="s">
        <v>168</v>
      </c>
      <c r="C15" s="15" t="s">
        <v>152</v>
      </c>
      <c r="D15" s="15" t="s">
        <v>35</v>
      </c>
      <c r="E15" s="15" t="s">
        <v>141</v>
      </c>
      <c r="F15" s="16" t="n">
        <v>13</v>
      </c>
      <c r="G15" s="16" t="n">
        <v>17</v>
      </c>
      <c r="H15" s="29" t="n">
        <v>66041.74</v>
      </c>
      <c r="I15" s="29" t="n">
        <f aca="false">H15/G15</f>
        <v>3884.80823529412</v>
      </c>
      <c r="J15" s="15" t="s">
        <v>142</v>
      </c>
      <c r="K15" s="15" t="s">
        <v>143</v>
      </c>
    </row>
    <row r="16" customFormat="false" ht="18.75" hidden="false" customHeight="true" outlineLevel="0" collapsed="false">
      <c r="A16" s="10" t="s">
        <v>169</v>
      </c>
      <c r="B16" s="10" t="s">
        <v>170</v>
      </c>
      <c r="C16" s="10" t="s">
        <v>166</v>
      </c>
      <c r="D16" s="10" t="s">
        <v>35</v>
      </c>
      <c r="E16" s="10" t="s">
        <v>141</v>
      </c>
      <c r="F16" s="11" t="n">
        <v>28</v>
      </c>
      <c r="G16" s="11" t="n">
        <v>15</v>
      </c>
      <c r="H16" s="26" t="n">
        <v>64802.96</v>
      </c>
      <c r="I16" s="26" t="n">
        <f aca="false">H16/G16</f>
        <v>4320.19733333333</v>
      </c>
      <c r="J16" s="10" t="s">
        <v>171</v>
      </c>
      <c r="K16" s="10" t="s">
        <v>172</v>
      </c>
    </row>
    <row r="17" customFormat="false" ht="18.75" hidden="false" customHeight="true" outlineLevel="0" collapsed="false">
      <c r="A17" s="15" t="s">
        <v>173</v>
      </c>
      <c r="B17" s="15" t="s">
        <v>174</v>
      </c>
      <c r="C17" s="15" t="s">
        <v>152</v>
      </c>
      <c r="D17" s="15" t="s">
        <v>35</v>
      </c>
      <c r="E17" s="15" t="s">
        <v>141</v>
      </c>
      <c r="F17" s="16" t="n">
        <v>6</v>
      </c>
      <c r="G17" s="16" t="n">
        <v>21</v>
      </c>
      <c r="H17" s="29" t="n">
        <v>62881.08</v>
      </c>
      <c r="I17" s="29" t="n">
        <f aca="false">H17/G17</f>
        <v>2994.33714285714</v>
      </c>
      <c r="J17" s="15" t="s">
        <v>142</v>
      </c>
      <c r="K17" s="15" t="s">
        <v>143</v>
      </c>
    </row>
    <row r="18" customFormat="false" ht="18.75" hidden="false" customHeight="true" outlineLevel="0" collapsed="false">
      <c r="A18" s="10" t="s">
        <v>175</v>
      </c>
      <c r="B18" s="10" t="s">
        <v>176</v>
      </c>
      <c r="C18" s="10" t="s">
        <v>155</v>
      </c>
      <c r="D18" s="10" t="s">
        <v>34</v>
      </c>
      <c r="E18" s="10" t="s">
        <v>141</v>
      </c>
      <c r="F18" s="11" t="n">
        <v>11</v>
      </c>
      <c r="G18" s="11" t="n">
        <v>15</v>
      </c>
      <c r="H18" s="26" t="n">
        <v>62769.76</v>
      </c>
      <c r="I18" s="26" t="n">
        <f aca="false">H18/G18</f>
        <v>4184.65066666667</v>
      </c>
      <c r="J18" s="10" t="s">
        <v>142</v>
      </c>
      <c r="K18" s="10" t="s">
        <v>143</v>
      </c>
    </row>
    <row r="19" customFormat="false" ht="18.75" hidden="false" customHeight="true" outlineLevel="0" collapsed="false">
      <c r="A19" s="15" t="s">
        <v>177</v>
      </c>
      <c r="B19" s="15" t="s">
        <v>178</v>
      </c>
      <c r="C19" s="15" t="s">
        <v>152</v>
      </c>
      <c r="D19" s="15" t="s">
        <v>35</v>
      </c>
      <c r="E19" s="15" t="s">
        <v>141</v>
      </c>
      <c r="F19" s="16" t="n">
        <v>8</v>
      </c>
      <c r="G19" s="16" t="n">
        <v>9</v>
      </c>
      <c r="H19" s="29" t="n">
        <v>61611.48</v>
      </c>
      <c r="I19" s="29" t="n">
        <f aca="false">H19/G19</f>
        <v>6845.72</v>
      </c>
      <c r="J19" s="15" t="s">
        <v>142</v>
      </c>
      <c r="K19" s="15" t="s">
        <v>143</v>
      </c>
    </row>
    <row r="20" customFormat="false" ht="18.75" hidden="false" customHeight="true" outlineLevel="0" collapsed="false">
      <c r="A20" s="10" t="s">
        <v>179</v>
      </c>
      <c r="B20" s="10" t="s">
        <v>180</v>
      </c>
      <c r="C20" s="10" t="s">
        <v>181</v>
      </c>
      <c r="D20" s="10" t="s">
        <v>36</v>
      </c>
      <c r="E20" s="10" t="s">
        <v>141</v>
      </c>
      <c r="F20" s="11" t="n">
        <v>31</v>
      </c>
      <c r="G20" s="11" t="n">
        <v>17</v>
      </c>
      <c r="H20" s="26" t="n">
        <v>61276.6</v>
      </c>
      <c r="I20" s="26" t="n">
        <f aca="false">H20/G20</f>
        <v>3604.50588235294</v>
      </c>
      <c r="J20" s="10" t="s">
        <v>171</v>
      </c>
      <c r="K20" s="10" t="s">
        <v>172</v>
      </c>
    </row>
    <row r="21" customFormat="false" ht="18.75" hidden="false" customHeight="true" outlineLevel="0" collapsed="false">
      <c r="A21" s="15" t="s">
        <v>182</v>
      </c>
      <c r="B21" s="15" t="s">
        <v>183</v>
      </c>
      <c r="C21" s="15" t="s">
        <v>184</v>
      </c>
      <c r="D21" s="15" t="s">
        <v>34</v>
      </c>
      <c r="E21" s="15" t="s">
        <v>141</v>
      </c>
      <c r="F21" s="16" t="n">
        <v>1</v>
      </c>
      <c r="G21" s="16" t="n">
        <v>10</v>
      </c>
      <c r="H21" s="29" t="n">
        <v>50675.44</v>
      </c>
      <c r="I21" s="29" t="n">
        <f aca="false">H21/G21</f>
        <v>5067.544</v>
      </c>
      <c r="J21" s="15" t="s">
        <v>142</v>
      </c>
      <c r="K21" s="15" t="s">
        <v>143</v>
      </c>
    </row>
    <row r="22" customFormat="false" ht="18.75" hidden="false" customHeight="true" outlineLevel="0" collapsed="false">
      <c r="A22" s="10" t="s">
        <v>185</v>
      </c>
      <c r="B22" s="10" t="s">
        <v>186</v>
      </c>
      <c r="C22" s="10" t="s">
        <v>181</v>
      </c>
      <c r="D22" s="10" t="s">
        <v>36</v>
      </c>
      <c r="E22" s="10" t="s">
        <v>141</v>
      </c>
      <c r="F22" s="11" t="n">
        <v>27</v>
      </c>
      <c r="G22" s="11" t="n">
        <v>19</v>
      </c>
      <c r="H22" s="26" t="n">
        <v>50019.48</v>
      </c>
      <c r="I22" s="26" t="n">
        <f aca="false">H22/G22</f>
        <v>2632.60421052632</v>
      </c>
      <c r="J22" s="10" t="s">
        <v>171</v>
      </c>
      <c r="K22" s="10" t="s">
        <v>172</v>
      </c>
    </row>
    <row r="23" customFormat="false" ht="18.75" hidden="false" customHeight="true" outlineLevel="0" collapsed="false">
      <c r="A23" s="15" t="s">
        <v>187</v>
      </c>
      <c r="B23" s="15" t="s">
        <v>188</v>
      </c>
      <c r="C23" s="15" t="s">
        <v>140</v>
      </c>
      <c r="D23" s="15" t="s">
        <v>35</v>
      </c>
      <c r="E23" s="15" t="s">
        <v>141</v>
      </c>
      <c r="F23" s="16" t="n">
        <v>94</v>
      </c>
      <c r="G23" s="16" t="n">
        <v>9</v>
      </c>
      <c r="H23" s="29" t="n">
        <v>47379.08</v>
      </c>
      <c r="I23" s="29" t="n">
        <f aca="false">H23/G23</f>
        <v>5264.34222222222</v>
      </c>
      <c r="J23" s="15" t="s">
        <v>189</v>
      </c>
      <c r="K23" s="15" t="s">
        <v>190</v>
      </c>
    </row>
    <row r="24" customFormat="false" ht="18.75" hidden="false" customHeight="true" outlineLevel="0" collapsed="false">
      <c r="A24" s="10" t="s">
        <v>191</v>
      </c>
      <c r="B24" s="10" t="s">
        <v>192</v>
      </c>
      <c r="C24" s="10" t="s">
        <v>140</v>
      </c>
      <c r="D24" s="10" t="s">
        <v>35</v>
      </c>
      <c r="E24" s="10" t="s">
        <v>141</v>
      </c>
      <c r="F24" s="11" t="n">
        <v>13</v>
      </c>
      <c r="G24" s="11" t="n">
        <v>11</v>
      </c>
      <c r="H24" s="26" t="n">
        <v>46214.82</v>
      </c>
      <c r="I24" s="26" t="n">
        <f aca="false">H24/G24</f>
        <v>4201.34727272727</v>
      </c>
      <c r="J24" s="10" t="s">
        <v>142</v>
      </c>
      <c r="K24" s="10" t="s">
        <v>143</v>
      </c>
    </row>
    <row r="25" customFormat="false" ht="18.75" hidden="false" customHeight="true" outlineLevel="0" collapsed="false">
      <c r="A25" s="15" t="s">
        <v>193</v>
      </c>
      <c r="B25" s="15" t="s">
        <v>194</v>
      </c>
      <c r="C25" s="15" t="s">
        <v>166</v>
      </c>
      <c r="D25" s="15" t="s">
        <v>35</v>
      </c>
      <c r="E25" s="15" t="s">
        <v>141</v>
      </c>
      <c r="F25" s="16" t="n">
        <v>24</v>
      </c>
      <c r="G25" s="16" t="n">
        <v>11</v>
      </c>
      <c r="H25" s="29" t="n">
        <v>42372.44</v>
      </c>
      <c r="I25" s="29" t="n">
        <f aca="false">H25/G25</f>
        <v>3852.04</v>
      </c>
      <c r="J25" s="15" t="s">
        <v>142</v>
      </c>
      <c r="K25" s="15" t="s">
        <v>143</v>
      </c>
    </row>
    <row r="26" customFormat="false" ht="18.75" hidden="false" customHeight="true" outlineLevel="0" collapsed="false">
      <c r="A26" s="10" t="s">
        <v>195</v>
      </c>
      <c r="B26" s="10" t="s">
        <v>196</v>
      </c>
      <c r="C26" s="10" t="s">
        <v>181</v>
      </c>
      <c r="D26" s="10" t="s">
        <v>36</v>
      </c>
      <c r="E26" s="10" t="s">
        <v>141</v>
      </c>
      <c r="F26" s="11" t="n">
        <v>14</v>
      </c>
      <c r="G26" s="11" t="n">
        <v>9</v>
      </c>
      <c r="H26" s="26" t="n">
        <v>41834.7</v>
      </c>
      <c r="I26" s="26" t="n">
        <f aca="false">H26/G26</f>
        <v>4648.3</v>
      </c>
      <c r="J26" s="10" t="s">
        <v>142</v>
      </c>
      <c r="K26" s="10" t="s">
        <v>143</v>
      </c>
    </row>
    <row r="27" customFormat="false" ht="18.75" hidden="false" customHeight="true" outlineLevel="0" collapsed="false">
      <c r="A27" s="15" t="s">
        <v>197</v>
      </c>
      <c r="B27" s="15" t="s">
        <v>198</v>
      </c>
      <c r="C27" s="15" t="s">
        <v>199</v>
      </c>
      <c r="D27" s="15" t="s">
        <v>36</v>
      </c>
      <c r="E27" s="15" t="s">
        <v>141</v>
      </c>
      <c r="F27" s="16" t="n">
        <v>7</v>
      </c>
      <c r="G27" s="16" t="n">
        <v>12</v>
      </c>
      <c r="H27" s="29" t="n">
        <v>40335.56</v>
      </c>
      <c r="I27" s="29" t="n">
        <f aca="false">H27/G27</f>
        <v>3361.29666666667</v>
      </c>
      <c r="J27" s="15" t="s">
        <v>142</v>
      </c>
      <c r="K27" s="15" t="s">
        <v>143</v>
      </c>
    </row>
    <row r="28" customFormat="false" ht="18.75" hidden="false" customHeight="true" outlineLevel="0" collapsed="false">
      <c r="A28" s="10" t="s">
        <v>200</v>
      </c>
      <c r="B28" s="10" t="s">
        <v>201</v>
      </c>
      <c r="C28" s="10" t="s">
        <v>181</v>
      </c>
      <c r="D28" s="10" t="s">
        <v>36</v>
      </c>
      <c r="E28" s="10" t="s">
        <v>141</v>
      </c>
      <c r="F28" s="11" t="n">
        <v>5</v>
      </c>
      <c r="G28" s="11" t="n">
        <v>12</v>
      </c>
      <c r="H28" s="26" t="n">
        <v>39445.92</v>
      </c>
      <c r="I28" s="26" t="n">
        <f aca="false">H28/G28</f>
        <v>3287.16</v>
      </c>
      <c r="J28" s="10" t="s">
        <v>142</v>
      </c>
      <c r="K28" s="10" t="s">
        <v>143</v>
      </c>
    </row>
    <row r="29" customFormat="false" ht="18.75" hidden="false" customHeight="true" outlineLevel="0" collapsed="false">
      <c r="A29" s="15" t="s">
        <v>202</v>
      </c>
      <c r="B29" s="15" t="s">
        <v>203</v>
      </c>
      <c r="C29" s="15" t="s">
        <v>184</v>
      </c>
      <c r="D29" s="15" t="s">
        <v>34</v>
      </c>
      <c r="E29" s="15" t="s">
        <v>141</v>
      </c>
      <c r="F29" s="16" t="n">
        <v>92</v>
      </c>
      <c r="G29" s="16" t="n">
        <v>10</v>
      </c>
      <c r="H29" s="29" t="n">
        <v>38850.68</v>
      </c>
      <c r="I29" s="29" t="n">
        <f aca="false">H29/G29</f>
        <v>3885.068</v>
      </c>
      <c r="J29" s="15" t="s">
        <v>189</v>
      </c>
      <c r="K29" s="15" t="s">
        <v>190</v>
      </c>
    </row>
    <row r="30" customFormat="false" ht="18.75" hidden="false" customHeight="true" outlineLevel="0" collapsed="false">
      <c r="A30" s="10" t="s">
        <v>204</v>
      </c>
      <c r="B30" s="10" t="s">
        <v>205</v>
      </c>
      <c r="C30" s="10" t="s">
        <v>181</v>
      </c>
      <c r="D30" s="10" t="s">
        <v>36</v>
      </c>
      <c r="E30" s="10" t="s">
        <v>141</v>
      </c>
      <c r="F30" s="11" t="n">
        <v>6</v>
      </c>
      <c r="G30" s="11" t="n">
        <v>12</v>
      </c>
      <c r="H30" s="26" t="n">
        <v>37541.98</v>
      </c>
      <c r="I30" s="26" t="n">
        <f aca="false">H30/G30</f>
        <v>3128.49833333333</v>
      </c>
      <c r="J30" s="10" t="s">
        <v>142</v>
      </c>
      <c r="K30" s="10" t="s">
        <v>143</v>
      </c>
    </row>
    <row r="31" customFormat="false" ht="18.75" hidden="false" customHeight="true" outlineLevel="0" collapsed="false">
      <c r="A31" s="15" t="s">
        <v>206</v>
      </c>
      <c r="B31" s="15" t="s">
        <v>186</v>
      </c>
      <c r="C31" s="15" t="s">
        <v>207</v>
      </c>
      <c r="D31" s="15" t="s">
        <v>35</v>
      </c>
      <c r="E31" s="15" t="s">
        <v>141</v>
      </c>
      <c r="F31" s="16" t="n">
        <v>56</v>
      </c>
      <c r="G31" s="16" t="n">
        <v>11</v>
      </c>
      <c r="H31" s="29" t="n">
        <v>36162.44</v>
      </c>
      <c r="I31" s="29" t="n">
        <f aca="false">H31/G31</f>
        <v>3287.49454545455</v>
      </c>
      <c r="J31" s="15" t="s">
        <v>189</v>
      </c>
      <c r="K31" s="15" t="s">
        <v>190</v>
      </c>
    </row>
    <row r="32" customFormat="false" ht="18.75" hidden="false" customHeight="true" outlineLevel="0" collapsed="false">
      <c r="A32" s="10" t="s">
        <v>208</v>
      </c>
      <c r="B32" s="10" t="s">
        <v>209</v>
      </c>
      <c r="C32" s="10" t="s">
        <v>140</v>
      </c>
      <c r="D32" s="10" t="s">
        <v>35</v>
      </c>
      <c r="E32" s="10" t="s">
        <v>141</v>
      </c>
      <c r="F32" s="11" t="n">
        <v>3</v>
      </c>
      <c r="G32" s="11" t="n">
        <v>10</v>
      </c>
      <c r="H32" s="26" t="n">
        <v>35882.3</v>
      </c>
      <c r="I32" s="26" t="n">
        <f aca="false">H32/G32</f>
        <v>3588.23</v>
      </c>
      <c r="J32" s="10" t="s">
        <v>142</v>
      </c>
      <c r="K32" s="10" t="s">
        <v>143</v>
      </c>
    </row>
    <row r="33" customFormat="false" ht="18.75" hidden="false" customHeight="true" outlineLevel="0" collapsed="false">
      <c r="A33" s="15" t="s">
        <v>210</v>
      </c>
      <c r="B33" s="15" t="s">
        <v>211</v>
      </c>
      <c r="C33" s="15" t="s">
        <v>184</v>
      </c>
      <c r="D33" s="15" t="s">
        <v>34</v>
      </c>
      <c r="E33" s="15" t="s">
        <v>141</v>
      </c>
      <c r="F33" s="16" t="n">
        <v>12</v>
      </c>
      <c r="G33" s="16" t="n">
        <v>11</v>
      </c>
      <c r="H33" s="29" t="n">
        <v>34683.08</v>
      </c>
      <c r="I33" s="29" t="n">
        <f aca="false">H33/G33</f>
        <v>3153.00727272727</v>
      </c>
      <c r="J33" s="15" t="s">
        <v>142</v>
      </c>
      <c r="K33" s="15" t="s">
        <v>143</v>
      </c>
    </row>
    <row r="34" customFormat="false" ht="18.75" hidden="false" customHeight="true" outlineLevel="0" collapsed="false">
      <c r="A34" s="10" t="s">
        <v>212</v>
      </c>
      <c r="B34" s="10" t="s">
        <v>213</v>
      </c>
      <c r="C34" s="10" t="s">
        <v>181</v>
      </c>
      <c r="D34" s="10" t="s">
        <v>36</v>
      </c>
      <c r="E34" s="10" t="s">
        <v>141</v>
      </c>
      <c r="F34" s="11" t="n">
        <v>73</v>
      </c>
      <c r="G34" s="11" t="n">
        <v>11</v>
      </c>
      <c r="H34" s="26" t="n">
        <v>34415.36</v>
      </c>
      <c r="I34" s="26" t="n">
        <f aca="false">H34/G34</f>
        <v>3128.66909090909</v>
      </c>
      <c r="J34" s="10" t="s">
        <v>189</v>
      </c>
      <c r="K34" s="10" t="s">
        <v>190</v>
      </c>
    </row>
    <row r="35" customFormat="false" ht="18.75" hidden="false" customHeight="true" outlineLevel="0" collapsed="false">
      <c r="A35" s="15" t="s">
        <v>214</v>
      </c>
      <c r="B35" s="15" t="s">
        <v>215</v>
      </c>
      <c r="C35" s="15" t="s">
        <v>216</v>
      </c>
      <c r="D35" s="15" t="s">
        <v>34</v>
      </c>
      <c r="E35" s="15" t="s">
        <v>141</v>
      </c>
      <c r="F35" s="16" t="n">
        <v>7</v>
      </c>
      <c r="G35" s="16" t="n">
        <v>13</v>
      </c>
      <c r="H35" s="29" t="n">
        <v>34011.94</v>
      </c>
      <c r="I35" s="29" t="n">
        <f aca="false">H35/G35</f>
        <v>2616.30307692308</v>
      </c>
      <c r="J35" s="15" t="s">
        <v>142</v>
      </c>
      <c r="K35" s="15" t="s">
        <v>143</v>
      </c>
    </row>
    <row r="36" customFormat="false" ht="18.75" hidden="false" customHeight="true" outlineLevel="0" collapsed="false">
      <c r="A36" s="10" t="s">
        <v>217</v>
      </c>
      <c r="B36" s="10" t="s">
        <v>218</v>
      </c>
      <c r="C36" s="10" t="s">
        <v>219</v>
      </c>
      <c r="D36" s="10" t="s">
        <v>35</v>
      </c>
      <c r="E36" s="10" t="s">
        <v>141</v>
      </c>
      <c r="F36" s="11" t="n">
        <v>32</v>
      </c>
      <c r="G36" s="11" t="n">
        <v>10</v>
      </c>
      <c r="H36" s="26" t="n">
        <v>31962.18</v>
      </c>
      <c r="I36" s="26" t="n">
        <f aca="false">H36/G36</f>
        <v>3196.218</v>
      </c>
      <c r="J36" s="10" t="s">
        <v>171</v>
      </c>
      <c r="K36" s="10" t="s">
        <v>172</v>
      </c>
    </row>
    <row r="37" customFormat="false" ht="18.75" hidden="false" customHeight="true" outlineLevel="0" collapsed="false">
      <c r="A37" s="15" t="s">
        <v>220</v>
      </c>
      <c r="B37" s="15" t="s">
        <v>221</v>
      </c>
      <c r="C37" s="15" t="s">
        <v>146</v>
      </c>
      <c r="D37" s="15" t="s">
        <v>34</v>
      </c>
      <c r="E37" s="15" t="s">
        <v>141</v>
      </c>
      <c r="F37" s="16" t="n">
        <v>5</v>
      </c>
      <c r="G37" s="16" t="n">
        <v>10</v>
      </c>
      <c r="H37" s="29" t="n">
        <v>31686.64</v>
      </c>
      <c r="I37" s="29" t="n">
        <f aca="false">H37/G37</f>
        <v>3168.664</v>
      </c>
      <c r="J37" s="15" t="s">
        <v>142</v>
      </c>
      <c r="K37" s="15" t="s">
        <v>143</v>
      </c>
    </row>
    <row r="38" customFormat="false" ht="18.75" hidden="false" customHeight="true" outlineLevel="0" collapsed="false">
      <c r="A38" s="10" t="s">
        <v>222</v>
      </c>
      <c r="B38" s="10" t="s">
        <v>223</v>
      </c>
      <c r="C38" s="10" t="s">
        <v>166</v>
      </c>
      <c r="D38" s="10" t="s">
        <v>35</v>
      </c>
      <c r="E38" s="10" t="s">
        <v>141</v>
      </c>
      <c r="F38" s="11" t="n">
        <v>39</v>
      </c>
      <c r="G38" s="11" t="n">
        <v>8</v>
      </c>
      <c r="H38" s="26" t="n">
        <v>30291.46</v>
      </c>
      <c r="I38" s="26" t="n">
        <f aca="false">H38/G38</f>
        <v>3786.4325</v>
      </c>
      <c r="J38" s="10" t="s">
        <v>171</v>
      </c>
      <c r="K38" s="10" t="s">
        <v>172</v>
      </c>
    </row>
    <row r="39" customFormat="false" ht="18.75" hidden="false" customHeight="true" outlineLevel="0" collapsed="false">
      <c r="A39" s="15" t="s">
        <v>224</v>
      </c>
      <c r="B39" s="15" t="s">
        <v>225</v>
      </c>
      <c r="C39" s="15" t="s">
        <v>226</v>
      </c>
      <c r="D39" s="15" t="s">
        <v>36</v>
      </c>
      <c r="E39" s="15" t="s">
        <v>141</v>
      </c>
      <c r="F39" s="16" t="n">
        <v>35</v>
      </c>
      <c r="G39" s="16" t="n">
        <v>7</v>
      </c>
      <c r="H39" s="29" t="n">
        <v>30241.78</v>
      </c>
      <c r="I39" s="29" t="n">
        <f aca="false">H39/G39</f>
        <v>4320.25428571429</v>
      </c>
      <c r="J39" s="15" t="s">
        <v>171</v>
      </c>
      <c r="K39" s="15" t="s">
        <v>172</v>
      </c>
    </row>
    <row r="40" customFormat="false" ht="18.75" hidden="false" customHeight="true" outlineLevel="0" collapsed="false">
      <c r="A40" s="10" t="s">
        <v>227</v>
      </c>
      <c r="B40" s="10" t="s">
        <v>228</v>
      </c>
      <c r="C40" s="10" t="s">
        <v>226</v>
      </c>
      <c r="D40" s="10" t="s">
        <v>36</v>
      </c>
      <c r="E40" s="10" t="s">
        <v>141</v>
      </c>
      <c r="F40" s="11" t="n">
        <v>8</v>
      </c>
      <c r="G40" s="11" t="n">
        <v>11</v>
      </c>
      <c r="H40" s="26" t="n">
        <v>29429.88</v>
      </c>
      <c r="I40" s="26" t="n">
        <f aca="false">H40/G40</f>
        <v>2675.44363636364</v>
      </c>
      <c r="J40" s="10" t="s">
        <v>142</v>
      </c>
      <c r="K40" s="10" t="s">
        <v>143</v>
      </c>
    </row>
    <row r="41" customFormat="false" ht="18.75" hidden="false" customHeight="true" outlineLevel="0" collapsed="false">
      <c r="A41" s="15" t="s">
        <v>229</v>
      </c>
      <c r="B41" s="15" t="s">
        <v>230</v>
      </c>
      <c r="C41" s="15" t="s">
        <v>146</v>
      </c>
      <c r="D41" s="15" t="s">
        <v>34</v>
      </c>
      <c r="E41" s="15" t="s">
        <v>141</v>
      </c>
      <c r="F41" s="16" t="n">
        <v>20</v>
      </c>
      <c r="G41" s="16" t="n">
        <v>11</v>
      </c>
      <c r="H41" s="29" t="n">
        <v>28438.58</v>
      </c>
      <c r="I41" s="29" t="n">
        <f aca="false">H41/G41</f>
        <v>2585.32545454546</v>
      </c>
      <c r="J41" s="15" t="s">
        <v>142</v>
      </c>
      <c r="K41" s="15" t="s">
        <v>143</v>
      </c>
    </row>
    <row r="42" customFormat="false" ht="18.75" hidden="false" customHeight="true" outlineLevel="0" collapsed="false">
      <c r="A42" s="10" t="s">
        <v>231</v>
      </c>
      <c r="B42" s="10" t="s">
        <v>232</v>
      </c>
      <c r="C42" s="10" t="s">
        <v>149</v>
      </c>
      <c r="D42" s="10" t="s">
        <v>35</v>
      </c>
      <c r="E42" s="10" t="s">
        <v>141</v>
      </c>
      <c r="F42" s="11" t="n">
        <v>10</v>
      </c>
      <c r="G42" s="11" t="n">
        <v>7</v>
      </c>
      <c r="H42" s="26" t="n">
        <v>27474.88</v>
      </c>
      <c r="I42" s="26" t="n">
        <f aca="false">H42/G42</f>
        <v>3924.98285714286</v>
      </c>
      <c r="J42" s="10" t="s">
        <v>142</v>
      </c>
      <c r="K42" s="10" t="s">
        <v>143</v>
      </c>
    </row>
    <row r="43" customFormat="false" ht="18.75" hidden="false" customHeight="true" outlineLevel="0" collapsed="false">
      <c r="A43" s="15" t="s">
        <v>233</v>
      </c>
      <c r="B43" s="15" t="s">
        <v>234</v>
      </c>
      <c r="C43" s="15" t="s">
        <v>219</v>
      </c>
      <c r="D43" s="15" t="s">
        <v>35</v>
      </c>
      <c r="E43" s="15" t="s">
        <v>141</v>
      </c>
      <c r="F43" s="16" t="n">
        <v>18</v>
      </c>
      <c r="G43" s="16" t="n">
        <v>9</v>
      </c>
      <c r="H43" s="29" t="n">
        <v>27467.98</v>
      </c>
      <c r="I43" s="29" t="n">
        <f aca="false">H43/G43</f>
        <v>3051.99777777778</v>
      </c>
      <c r="J43" s="15" t="s">
        <v>142</v>
      </c>
      <c r="K43" s="15" t="s">
        <v>143</v>
      </c>
    </row>
    <row r="44" customFormat="false" ht="18.75" hidden="false" customHeight="true" outlineLevel="0" collapsed="false">
      <c r="A44" s="10" t="s">
        <v>235</v>
      </c>
      <c r="B44" s="10" t="s">
        <v>236</v>
      </c>
      <c r="C44" s="10" t="s">
        <v>219</v>
      </c>
      <c r="D44" s="10" t="s">
        <v>35</v>
      </c>
      <c r="E44" s="10" t="s">
        <v>141</v>
      </c>
      <c r="F44" s="11" t="n">
        <v>18</v>
      </c>
      <c r="G44" s="11" t="n">
        <v>10</v>
      </c>
      <c r="H44" s="26" t="n">
        <v>27024.08</v>
      </c>
      <c r="I44" s="26" t="n">
        <f aca="false">H44/G44</f>
        <v>2702.408</v>
      </c>
      <c r="J44" s="10" t="s">
        <v>142</v>
      </c>
      <c r="K44" s="10" t="s">
        <v>143</v>
      </c>
    </row>
    <row r="45" customFormat="false" ht="18.75" hidden="false" customHeight="true" outlineLevel="0" collapsed="false">
      <c r="A45" s="15" t="s">
        <v>237</v>
      </c>
      <c r="B45" s="15" t="s">
        <v>238</v>
      </c>
      <c r="C45" s="15" t="s">
        <v>216</v>
      </c>
      <c r="D45" s="15" t="s">
        <v>34</v>
      </c>
      <c r="E45" s="15" t="s">
        <v>141</v>
      </c>
      <c r="F45" s="16" t="n">
        <v>4</v>
      </c>
      <c r="G45" s="16" t="n">
        <v>7</v>
      </c>
      <c r="H45" s="29" t="n">
        <v>27016.72</v>
      </c>
      <c r="I45" s="29" t="n">
        <f aca="false">H45/G45</f>
        <v>3859.53142857143</v>
      </c>
      <c r="J45" s="15" t="s">
        <v>142</v>
      </c>
      <c r="K45" s="15" t="s">
        <v>143</v>
      </c>
    </row>
    <row r="46" customFormat="false" ht="18.75" hidden="false" customHeight="true" outlineLevel="0" collapsed="false">
      <c r="A46" s="10" t="s">
        <v>239</v>
      </c>
      <c r="B46" s="10" t="s">
        <v>240</v>
      </c>
      <c r="C46" s="10" t="s">
        <v>155</v>
      </c>
      <c r="D46" s="10" t="s">
        <v>34</v>
      </c>
      <c r="E46" s="10" t="s">
        <v>141</v>
      </c>
      <c r="F46" s="11" t="n">
        <v>11</v>
      </c>
      <c r="G46" s="11" t="n">
        <v>10</v>
      </c>
      <c r="H46" s="26" t="n">
        <v>26373.64</v>
      </c>
      <c r="I46" s="26" t="n">
        <f aca="false">H46/G46</f>
        <v>2637.364</v>
      </c>
      <c r="J46" s="10" t="s">
        <v>142</v>
      </c>
      <c r="K46" s="10" t="s">
        <v>143</v>
      </c>
    </row>
    <row r="47" customFormat="false" ht="18.75" hidden="false" customHeight="true" outlineLevel="0" collapsed="false">
      <c r="A47" s="15" t="s">
        <v>241</v>
      </c>
      <c r="B47" s="15" t="s">
        <v>242</v>
      </c>
      <c r="C47" s="15" t="s">
        <v>219</v>
      </c>
      <c r="D47" s="15" t="s">
        <v>35</v>
      </c>
      <c r="E47" s="15" t="s">
        <v>141</v>
      </c>
      <c r="F47" s="16" t="n">
        <v>27</v>
      </c>
      <c r="G47" s="16" t="n">
        <v>5</v>
      </c>
      <c r="H47" s="29" t="n">
        <v>26207.12</v>
      </c>
      <c r="I47" s="29" t="n">
        <f aca="false">H47/G47</f>
        <v>5241.424</v>
      </c>
      <c r="J47" s="15" t="s">
        <v>171</v>
      </c>
      <c r="K47" s="15" t="s">
        <v>172</v>
      </c>
    </row>
    <row r="48" customFormat="false" ht="18.75" hidden="false" customHeight="true" outlineLevel="0" collapsed="false">
      <c r="A48" s="10" t="s">
        <v>243</v>
      </c>
      <c r="B48" s="10" t="s">
        <v>244</v>
      </c>
      <c r="C48" s="10" t="s">
        <v>226</v>
      </c>
      <c r="D48" s="10" t="s">
        <v>36</v>
      </c>
      <c r="E48" s="10" t="s">
        <v>141</v>
      </c>
      <c r="F48" s="11" t="n">
        <v>29</v>
      </c>
      <c r="G48" s="11" t="n">
        <v>8</v>
      </c>
      <c r="H48" s="26" t="n">
        <v>25524.94</v>
      </c>
      <c r="I48" s="26" t="n">
        <f aca="false">H48/G48</f>
        <v>3190.6175</v>
      </c>
      <c r="J48" s="10" t="s">
        <v>171</v>
      </c>
      <c r="K48" s="10" t="s">
        <v>172</v>
      </c>
    </row>
    <row r="49" customFormat="false" ht="18.75" hidden="false" customHeight="true" outlineLevel="0" collapsed="false">
      <c r="A49" s="15" t="s">
        <v>245</v>
      </c>
      <c r="B49" s="15" t="s">
        <v>246</v>
      </c>
      <c r="C49" s="15" t="s">
        <v>152</v>
      </c>
      <c r="D49" s="15" t="s">
        <v>35</v>
      </c>
      <c r="E49" s="15" t="s">
        <v>141</v>
      </c>
      <c r="F49" s="16" t="n">
        <v>13</v>
      </c>
      <c r="G49" s="16" t="n">
        <v>6</v>
      </c>
      <c r="H49" s="29" t="n">
        <v>25484.92</v>
      </c>
      <c r="I49" s="29" t="n">
        <f aca="false">H49/G49</f>
        <v>4247.48666666667</v>
      </c>
      <c r="J49" s="15" t="s">
        <v>171</v>
      </c>
      <c r="K49" s="15" t="s">
        <v>172</v>
      </c>
    </row>
    <row r="50" customFormat="false" ht="18.75" hidden="false" customHeight="true" outlineLevel="0" collapsed="false">
      <c r="A50" s="10" t="s">
        <v>247</v>
      </c>
      <c r="B50" s="10" t="s">
        <v>248</v>
      </c>
      <c r="C50" s="10" t="s">
        <v>163</v>
      </c>
      <c r="D50" s="10" t="s">
        <v>36</v>
      </c>
      <c r="E50" s="10" t="s">
        <v>141</v>
      </c>
      <c r="F50" s="11" t="n">
        <v>14</v>
      </c>
      <c r="G50" s="11" t="n">
        <v>8</v>
      </c>
      <c r="H50" s="26" t="n">
        <v>24839.08</v>
      </c>
      <c r="I50" s="26" t="n">
        <f aca="false">H50/G50</f>
        <v>3104.885</v>
      </c>
      <c r="J50" s="10" t="s">
        <v>142</v>
      </c>
      <c r="K50" s="10" t="s">
        <v>143</v>
      </c>
    </row>
    <row r="51" customFormat="false" ht="18.75" hidden="false" customHeight="true" outlineLevel="0" collapsed="false">
      <c r="A51" s="15" t="s">
        <v>249</v>
      </c>
      <c r="B51" s="15" t="s">
        <v>250</v>
      </c>
      <c r="C51" s="15" t="s">
        <v>146</v>
      </c>
      <c r="D51" s="15" t="s">
        <v>34</v>
      </c>
      <c r="E51" s="15" t="s">
        <v>141</v>
      </c>
      <c r="F51" s="16" t="n">
        <v>65</v>
      </c>
      <c r="G51" s="16" t="n">
        <v>7</v>
      </c>
      <c r="H51" s="29" t="n">
        <v>24805.04</v>
      </c>
      <c r="I51" s="29" t="n">
        <f aca="false">H51/G51</f>
        <v>3543.57714285714</v>
      </c>
      <c r="J51" s="15" t="s">
        <v>189</v>
      </c>
      <c r="K51" s="15" t="s">
        <v>190</v>
      </c>
    </row>
    <row r="52" customFormat="false" ht="18.75" hidden="false" customHeight="true" outlineLevel="0" collapsed="false">
      <c r="A52" s="10" t="s">
        <v>251</v>
      </c>
      <c r="B52" s="10" t="s">
        <v>252</v>
      </c>
      <c r="C52" s="10" t="s">
        <v>226</v>
      </c>
      <c r="D52" s="10" t="s">
        <v>36</v>
      </c>
      <c r="E52" s="10" t="s">
        <v>141</v>
      </c>
      <c r="F52" s="11" t="n">
        <v>168</v>
      </c>
      <c r="G52" s="11" t="n">
        <v>3</v>
      </c>
      <c r="H52" s="26" t="n">
        <v>23968.76</v>
      </c>
      <c r="I52" s="26" t="n">
        <f aca="false">H52/G52</f>
        <v>7989.58666666667</v>
      </c>
      <c r="J52" s="10" t="s">
        <v>253</v>
      </c>
      <c r="K52" s="10" t="s">
        <v>254</v>
      </c>
    </row>
    <row r="53" customFormat="false" ht="18.75" hidden="false" customHeight="true" outlineLevel="0" collapsed="false">
      <c r="A53" s="15" t="s">
        <v>255</v>
      </c>
      <c r="B53" s="15" t="s">
        <v>256</v>
      </c>
      <c r="C53" s="15" t="s">
        <v>155</v>
      </c>
      <c r="D53" s="15" t="s">
        <v>34</v>
      </c>
      <c r="E53" s="15" t="s">
        <v>141</v>
      </c>
      <c r="F53" s="16" t="n">
        <v>7</v>
      </c>
      <c r="G53" s="16" t="n">
        <v>7</v>
      </c>
      <c r="H53" s="29" t="n">
        <v>23527.62</v>
      </c>
      <c r="I53" s="29" t="n">
        <f aca="false">H53/G53</f>
        <v>3361.08857142857</v>
      </c>
      <c r="J53" s="15" t="s">
        <v>171</v>
      </c>
      <c r="K53" s="15" t="s">
        <v>172</v>
      </c>
    </row>
    <row r="54" customFormat="false" ht="18.75" hidden="false" customHeight="true" outlineLevel="0" collapsed="false">
      <c r="A54" s="10" t="s">
        <v>257</v>
      </c>
      <c r="B54" s="10" t="s">
        <v>258</v>
      </c>
      <c r="C54" s="10" t="s">
        <v>199</v>
      </c>
      <c r="D54" s="10" t="s">
        <v>36</v>
      </c>
      <c r="E54" s="10" t="s">
        <v>141</v>
      </c>
      <c r="F54" s="11" t="n">
        <v>59</v>
      </c>
      <c r="G54" s="11" t="n">
        <v>7</v>
      </c>
      <c r="H54" s="26" t="n">
        <v>23492.66</v>
      </c>
      <c r="I54" s="26" t="n">
        <f aca="false">H54/G54</f>
        <v>3356.09428571429</v>
      </c>
      <c r="J54" s="10" t="s">
        <v>189</v>
      </c>
      <c r="K54" s="10" t="s">
        <v>190</v>
      </c>
    </row>
    <row r="55" customFormat="false" ht="18.75" hidden="false" customHeight="true" outlineLevel="0" collapsed="false">
      <c r="A55" s="15" t="s">
        <v>259</v>
      </c>
      <c r="B55" s="15" t="s">
        <v>260</v>
      </c>
      <c r="C55" s="15" t="s">
        <v>163</v>
      </c>
      <c r="D55" s="15" t="s">
        <v>36</v>
      </c>
      <c r="E55" s="15" t="s">
        <v>141</v>
      </c>
      <c r="F55" s="16" t="n">
        <v>7</v>
      </c>
      <c r="G55" s="16" t="n">
        <v>5</v>
      </c>
      <c r="H55" s="29" t="n">
        <v>22605.32</v>
      </c>
      <c r="I55" s="29" t="n">
        <f aca="false">H55/G55</f>
        <v>4521.064</v>
      </c>
      <c r="J55" s="15" t="s">
        <v>171</v>
      </c>
      <c r="K55" s="15" t="s">
        <v>172</v>
      </c>
    </row>
    <row r="56" customFormat="false" ht="18.75" hidden="false" customHeight="true" outlineLevel="0" collapsed="false">
      <c r="A56" s="10" t="s">
        <v>261</v>
      </c>
      <c r="B56" s="10" t="s">
        <v>262</v>
      </c>
      <c r="C56" s="10" t="s">
        <v>140</v>
      </c>
      <c r="D56" s="10" t="s">
        <v>35</v>
      </c>
      <c r="E56" s="10" t="s">
        <v>141</v>
      </c>
      <c r="F56" s="11" t="n">
        <v>21</v>
      </c>
      <c r="G56" s="11" t="n">
        <v>10</v>
      </c>
      <c r="H56" s="26" t="n">
        <v>22561.16</v>
      </c>
      <c r="I56" s="26" t="n">
        <f aca="false">H56/G56</f>
        <v>2256.116</v>
      </c>
      <c r="J56" s="10" t="s">
        <v>142</v>
      </c>
      <c r="K56" s="10" t="s">
        <v>143</v>
      </c>
    </row>
    <row r="57" customFormat="false" ht="18.75" hidden="false" customHeight="true" outlineLevel="0" collapsed="false">
      <c r="A57" s="15" t="s">
        <v>263</v>
      </c>
      <c r="B57" s="15" t="s">
        <v>264</v>
      </c>
      <c r="C57" s="15" t="s">
        <v>160</v>
      </c>
      <c r="D57" s="15" t="s">
        <v>36</v>
      </c>
      <c r="E57" s="15" t="s">
        <v>141</v>
      </c>
      <c r="F57" s="16" t="n">
        <v>29</v>
      </c>
      <c r="G57" s="16" t="n">
        <v>8</v>
      </c>
      <c r="H57" s="29" t="n">
        <v>22222.6</v>
      </c>
      <c r="I57" s="29" t="n">
        <f aca="false">H57/G57</f>
        <v>2777.825</v>
      </c>
      <c r="J57" s="15" t="s">
        <v>171</v>
      </c>
      <c r="K57" s="15" t="s">
        <v>172</v>
      </c>
    </row>
    <row r="58" customFormat="false" ht="18.75" hidden="false" customHeight="true" outlineLevel="0" collapsed="false">
      <c r="A58" s="10" t="s">
        <v>265</v>
      </c>
      <c r="B58" s="10" t="s">
        <v>238</v>
      </c>
      <c r="C58" s="10" t="s">
        <v>216</v>
      </c>
      <c r="D58" s="10" t="s">
        <v>34</v>
      </c>
      <c r="E58" s="10" t="s">
        <v>141</v>
      </c>
      <c r="F58" s="11" t="n">
        <v>28</v>
      </c>
      <c r="G58" s="11" t="n">
        <v>5</v>
      </c>
      <c r="H58" s="26" t="n">
        <v>20359.6</v>
      </c>
      <c r="I58" s="26" t="n">
        <f aca="false">H58/G58</f>
        <v>4071.92</v>
      </c>
      <c r="J58" s="10" t="s">
        <v>171</v>
      </c>
      <c r="K58" s="10" t="s">
        <v>172</v>
      </c>
    </row>
    <row r="59" customFormat="false" ht="18.75" hidden="false" customHeight="true" outlineLevel="0" collapsed="false">
      <c r="A59" s="15" t="s">
        <v>266</v>
      </c>
      <c r="B59" s="15" t="s">
        <v>267</v>
      </c>
      <c r="C59" s="15" t="s">
        <v>226</v>
      </c>
      <c r="D59" s="15" t="s">
        <v>36</v>
      </c>
      <c r="E59" s="15" t="s">
        <v>141</v>
      </c>
      <c r="F59" s="16" t="n">
        <v>141</v>
      </c>
      <c r="G59" s="16" t="n">
        <v>6</v>
      </c>
      <c r="H59" s="29" t="n">
        <v>19969.52</v>
      </c>
      <c r="I59" s="29" t="n">
        <f aca="false">H59/G59</f>
        <v>3328.25333333333</v>
      </c>
      <c r="J59" s="15" t="s">
        <v>268</v>
      </c>
      <c r="K59" s="15" t="s">
        <v>269</v>
      </c>
    </row>
    <row r="60" customFormat="false" ht="18.75" hidden="false" customHeight="true" outlineLevel="0" collapsed="false">
      <c r="A60" s="10" t="s">
        <v>270</v>
      </c>
      <c r="B60" s="10" t="s">
        <v>271</v>
      </c>
      <c r="C60" s="10" t="s">
        <v>160</v>
      </c>
      <c r="D60" s="10" t="s">
        <v>36</v>
      </c>
      <c r="E60" s="10" t="s">
        <v>141</v>
      </c>
      <c r="F60" s="11" t="n">
        <v>71</v>
      </c>
      <c r="G60" s="11" t="n">
        <v>4</v>
      </c>
      <c r="H60" s="26" t="n">
        <v>19789.2</v>
      </c>
      <c r="I60" s="26" t="n">
        <f aca="false">H60/G60</f>
        <v>4947.3</v>
      </c>
      <c r="J60" s="10" t="s">
        <v>189</v>
      </c>
      <c r="K60" s="10" t="s">
        <v>190</v>
      </c>
    </row>
    <row r="61" customFormat="false" ht="18.75" hidden="false" customHeight="true" outlineLevel="0" collapsed="false">
      <c r="A61" s="15" t="s">
        <v>272</v>
      </c>
      <c r="B61" s="15" t="s">
        <v>273</v>
      </c>
      <c r="C61" s="15" t="s">
        <v>149</v>
      </c>
      <c r="D61" s="15" t="s">
        <v>35</v>
      </c>
      <c r="E61" s="15" t="s">
        <v>141</v>
      </c>
      <c r="F61" s="16" t="n">
        <v>26</v>
      </c>
      <c r="G61" s="16" t="n">
        <v>7</v>
      </c>
      <c r="H61" s="29" t="n">
        <v>19513.2</v>
      </c>
      <c r="I61" s="29" t="n">
        <f aca="false">H61/G61</f>
        <v>2787.6</v>
      </c>
      <c r="J61" s="15" t="s">
        <v>171</v>
      </c>
      <c r="K61" s="15" t="s">
        <v>172</v>
      </c>
    </row>
    <row r="62" customFormat="false" ht="18.75" hidden="false" customHeight="true" outlineLevel="0" collapsed="false">
      <c r="A62" s="10" t="s">
        <v>274</v>
      </c>
      <c r="B62" s="10" t="s">
        <v>275</v>
      </c>
      <c r="C62" s="10" t="s">
        <v>216</v>
      </c>
      <c r="D62" s="10" t="s">
        <v>34</v>
      </c>
      <c r="E62" s="10" t="s">
        <v>141</v>
      </c>
      <c r="F62" s="11" t="n">
        <v>110</v>
      </c>
      <c r="G62" s="11" t="n">
        <v>5</v>
      </c>
      <c r="H62" s="26" t="n">
        <v>18410.58</v>
      </c>
      <c r="I62" s="26" t="n">
        <f aca="false">H62/G62</f>
        <v>3682.116</v>
      </c>
      <c r="J62" s="10" t="s">
        <v>268</v>
      </c>
      <c r="K62" s="10" t="s">
        <v>269</v>
      </c>
    </row>
    <row r="63" customFormat="false" ht="18.75" hidden="false" customHeight="true" outlineLevel="0" collapsed="false">
      <c r="A63" s="15" t="s">
        <v>276</v>
      </c>
      <c r="B63" s="15" t="s">
        <v>277</v>
      </c>
      <c r="C63" s="15" t="s">
        <v>166</v>
      </c>
      <c r="D63" s="15" t="s">
        <v>35</v>
      </c>
      <c r="E63" s="15" t="s">
        <v>141</v>
      </c>
      <c r="F63" s="16" t="n">
        <v>2</v>
      </c>
      <c r="G63" s="16" t="n">
        <v>9</v>
      </c>
      <c r="H63" s="29" t="n">
        <v>18009.92</v>
      </c>
      <c r="I63" s="29" t="n">
        <f aca="false">H63/G63</f>
        <v>2001.10222222222</v>
      </c>
      <c r="J63" s="15" t="s">
        <v>142</v>
      </c>
      <c r="K63" s="15" t="s">
        <v>143</v>
      </c>
    </row>
    <row r="64" customFormat="false" ht="18.75" hidden="false" customHeight="true" outlineLevel="0" collapsed="false">
      <c r="A64" s="10" t="s">
        <v>278</v>
      </c>
      <c r="B64" s="10" t="s">
        <v>279</v>
      </c>
      <c r="C64" s="10" t="s">
        <v>140</v>
      </c>
      <c r="D64" s="10" t="s">
        <v>35</v>
      </c>
      <c r="E64" s="10" t="s">
        <v>141</v>
      </c>
      <c r="F64" s="11" t="n">
        <v>8</v>
      </c>
      <c r="G64" s="11" t="n">
        <v>3</v>
      </c>
      <c r="H64" s="26" t="n">
        <v>16442.24</v>
      </c>
      <c r="I64" s="26" t="n">
        <f aca="false">H64/G64</f>
        <v>5480.74666666667</v>
      </c>
      <c r="J64" s="10" t="s">
        <v>280</v>
      </c>
      <c r="K64" s="10" t="s">
        <v>281</v>
      </c>
    </row>
    <row r="65" customFormat="false" ht="18.75" hidden="false" customHeight="true" outlineLevel="0" collapsed="false">
      <c r="A65" s="15" t="s">
        <v>282</v>
      </c>
      <c r="B65" s="15" t="s">
        <v>283</v>
      </c>
      <c r="C65" s="15" t="s">
        <v>140</v>
      </c>
      <c r="D65" s="15" t="s">
        <v>35</v>
      </c>
      <c r="E65" s="15" t="s">
        <v>284</v>
      </c>
      <c r="F65" s="16" t="n">
        <v>0</v>
      </c>
      <c r="G65" s="16" t="n">
        <v>23</v>
      </c>
      <c r="H65" s="29" t="n">
        <v>16415.89</v>
      </c>
      <c r="I65" s="29" t="n">
        <f aca="false">H65/G65</f>
        <v>713.734347826087</v>
      </c>
      <c r="J65" s="15" t="s">
        <v>142</v>
      </c>
      <c r="K65" s="15" t="s">
        <v>143</v>
      </c>
    </row>
    <row r="66" customFormat="false" ht="18.75" hidden="false" customHeight="true" outlineLevel="0" collapsed="false">
      <c r="A66" s="10" t="s">
        <v>285</v>
      </c>
      <c r="B66" s="10" t="s">
        <v>286</v>
      </c>
      <c r="C66" s="10" t="s">
        <v>140</v>
      </c>
      <c r="D66" s="10" t="s">
        <v>35</v>
      </c>
      <c r="E66" s="10" t="s">
        <v>284</v>
      </c>
      <c r="F66" s="11" t="n">
        <v>4</v>
      </c>
      <c r="G66" s="11" t="n">
        <v>23</v>
      </c>
      <c r="H66" s="26" t="n">
        <v>16254.44</v>
      </c>
      <c r="I66" s="26" t="n">
        <f aca="false">H66/G66</f>
        <v>706.714782608696</v>
      </c>
      <c r="J66" s="10" t="s">
        <v>142</v>
      </c>
      <c r="K66" s="10" t="s">
        <v>143</v>
      </c>
    </row>
    <row r="67" customFormat="false" ht="18.75" hidden="false" customHeight="true" outlineLevel="0" collapsed="false">
      <c r="A67" s="15" t="s">
        <v>287</v>
      </c>
      <c r="B67" s="15" t="s">
        <v>288</v>
      </c>
      <c r="C67" s="15" t="s">
        <v>149</v>
      </c>
      <c r="D67" s="15" t="s">
        <v>35</v>
      </c>
      <c r="E67" s="15" t="s">
        <v>284</v>
      </c>
      <c r="F67" s="16" t="n">
        <v>7</v>
      </c>
      <c r="G67" s="16" t="n">
        <v>22</v>
      </c>
      <c r="H67" s="29" t="n">
        <v>16191.95</v>
      </c>
      <c r="I67" s="29" t="n">
        <f aca="false">H67/G67</f>
        <v>735.997727272727</v>
      </c>
      <c r="J67" s="15" t="s">
        <v>142</v>
      </c>
      <c r="K67" s="15" t="s">
        <v>143</v>
      </c>
    </row>
    <row r="68" customFormat="false" ht="18.75" hidden="false" customHeight="true" outlineLevel="0" collapsed="false">
      <c r="A68" s="10" t="s">
        <v>289</v>
      </c>
      <c r="B68" s="10" t="s">
        <v>290</v>
      </c>
      <c r="C68" s="10" t="s">
        <v>166</v>
      </c>
      <c r="D68" s="10" t="s">
        <v>35</v>
      </c>
      <c r="E68" s="10" t="s">
        <v>141</v>
      </c>
      <c r="F68" s="11" t="n">
        <v>72</v>
      </c>
      <c r="G68" s="11" t="n">
        <v>6</v>
      </c>
      <c r="H68" s="26" t="n">
        <v>15805.6</v>
      </c>
      <c r="I68" s="26" t="n">
        <f aca="false">H68/G68</f>
        <v>2634.26666666667</v>
      </c>
      <c r="J68" s="10" t="s">
        <v>189</v>
      </c>
      <c r="K68" s="10" t="s">
        <v>190</v>
      </c>
    </row>
    <row r="69" customFormat="false" ht="18.75" hidden="false" customHeight="true" outlineLevel="0" collapsed="false">
      <c r="A69" s="15" t="s">
        <v>291</v>
      </c>
      <c r="B69" s="15" t="s">
        <v>238</v>
      </c>
      <c r="C69" s="15" t="s">
        <v>152</v>
      </c>
      <c r="D69" s="15" t="s">
        <v>35</v>
      </c>
      <c r="E69" s="15" t="s">
        <v>284</v>
      </c>
      <c r="F69" s="16" t="n">
        <v>16</v>
      </c>
      <c r="G69" s="16" t="n">
        <v>22</v>
      </c>
      <c r="H69" s="29" t="n">
        <v>15783.23</v>
      </c>
      <c r="I69" s="29" t="n">
        <f aca="false">H69/G69</f>
        <v>717.419545454545</v>
      </c>
      <c r="J69" s="15" t="s">
        <v>142</v>
      </c>
      <c r="K69" s="15" t="s">
        <v>143</v>
      </c>
    </row>
    <row r="70" customFormat="false" ht="18.75" hidden="false" customHeight="true" outlineLevel="0" collapsed="false">
      <c r="A70" s="10" t="s">
        <v>292</v>
      </c>
      <c r="B70" s="10" t="s">
        <v>151</v>
      </c>
      <c r="C70" s="10" t="s">
        <v>146</v>
      </c>
      <c r="D70" s="10" t="s">
        <v>34</v>
      </c>
      <c r="E70" s="10" t="s">
        <v>141</v>
      </c>
      <c r="F70" s="11" t="n">
        <v>116</v>
      </c>
      <c r="G70" s="11" t="n">
        <v>5</v>
      </c>
      <c r="H70" s="26" t="n">
        <v>15739.36</v>
      </c>
      <c r="I70" s="26" t="n">
        <f aca="false">H70/G70</f>
        <v>3147.872</v>
      </c>
      <c r="J70" s="10" t="s">
        <v>268</v>
      </c>
      <c r="K70" s="10" t="s">
        <v>269</v>
      </c>
    </row>
    <row r="71" customFormat="false" ht="18.75" hidden="false" customHeight="true" outlineLevel="0" collapsed="false">
      <c r="A71" s="15" t="s">
        <v>293</v>
      </c>
      <c r="B71" s="15" t="s">
        <v>294</v>
      </c>
      <c r="C71" s="15" t="s">
        <v>140</v>
      </c>
      <c r="D71" s="15" t="s">
        <v>35</v>
      </c>
      <c r="E71" s="15" t="s">
        <v>141</v>
      </c>
      <c r="F71" s="16" t="n">
        <v>145</v>
      </c>
      <c r="G71" s="16" t="n">
        <v>6</v>
      </c>
      <c r="H71" s="29" t="n">
        <v>15322.6</v>
      </c>
      <c r="I71" s="29" t="n">
        <f aca="false">H71/G71</f>
        <v>2553.76666666667</v>
      </c>
      <c r="J71" s="15" t="s">
        <v>268</v>
      </c>
      <c r="K71" s="15" t="s">
        <v>269</v>
      </c>
    </row>
    <row r="72" customFormat="false" ht="18.75" hidden="false" customHeight="true" outlineLevel="0" collapsed="false">
      <c r="A72" s="10" t="s">
        <v>295</v>
      </c>
      <c r="B72" s="10" t="s">
        <v>296</v>
      </c>
      <c r="C72" s="10" t="s">
        <v>166</v>
      </c>
      <c r="D72" s="10" t="s">
        <v>35</v>
      </c>
      <c r="E72" s="10" t="s">
        <v>141</v>
      </c>
      <c r="F72" s="11" t="n">
        <v>33</v>
      </c>
      <c r="G72" s="11" t="n">
        <v>4</v>
      </c>
      <c r="H72" s="26" t="n">
        <v>15213.12</v>
      </c>
      <c r="I72" s="26" t="n">
        <f aca="false">H72/G72</f>
        <v>3803.28</v>
      </c>
      <c r="J72" s="10" t="s">
        <v>171</v>
      </c>
      <c r="K72" s="10" t="s">
        <v>172</v>
      </c>
    </row>
    <row r="73" customFormat="false" ht="18.75" hidden="false" customHeight="true" outlineLevel="0" collapsed="false">
      <c r="A73" s="15" t="s">
        <v>297</v>
      </c>
      <c r="B73" s="15" t="s">
        <v>298</v>
      </c>
      <c r="C73" s="15" t="s">
        <v>226</v>
      </c>
      <c r="D73" s="15" t="s">
        <v>36</v>
      </c>
      <c r="E73" s="15" t="s">
        <v>141</v>
      </c>
      <c r="F73" s="16" t="n">
        <v>36</v>
      </c>
      <c r="G73" s="16" t="n">
        <v>4</v>
      </c>
      <c r="H73" s="29" t="n">
        <v>15181.84</v>
      </c>
      <c r="I73" s="29" t="n">
        <f aca="false">H73/G73</f>
        <v>3795.46</v>
      </c>
      <c r="J73" s="15" t="s">
        <v>171</v>
      </c>
      <c r="K73" s="15" t="s">
        <v>172</v>
      </c>
    </row>
    <row r="74" customFormat="false" ht="18.75" hidden="false" customHeight="true" outlineLevel="0" collapsed="false">
      <c r="A74" s="10" t="s">
        <v>299</v>
      </c>
      <c r="B74" s="10" t="s">
        <v>300</v>
      </c>
      <c r="C74" s="10" t="s">
        <v>199</v>
      </c>
      <c r="D74" s="10" t="s">
        <v>36</v>
      </c>
      <c r="E74" s="10" t="s">
        <v>141</v>
      </c>
      <c r="F74" s="11" t="n">
        <v>26</v>
      </c>
      <c r="G74" s="11" t="n">
        <v>4</v>
      </c>
      <c r="H74" s="26" t="n">
        <v>14784.4</v>
      </c>
      <c r="I74" s="26" t="n">
        <f aca="false">H74/G74</f>
        <v>3696.1</v>
      </c>
      <c r="J74" s="10" t="s">
        <v>171</v>
      </c>
      <c r="K74" s="10" t="s">
        <v>172</v>
      </c>
    </row>
    <row r="75" customFormat="false" ht="18.75" hidden="false" customHeight="true" outlineLevel="0" collapsed="false">
      <c r="A75" s="15" t="s">
        <v>301</v>
      </c>
      <c r="B75" s="15" t="s">
        <v>302</v>
      </c>
      <c r="C75" s="15" t="s">
        <v>207</v>
      </c>
      <c r="D75" s="15" t="s">
        <v>35</v>
      </c>
      <c r="E75" s="15" t="s">
        <v>284</v>
      </c>
      <c r="F75" s="16" t="n">
        <v>4</v>
      </c>
      <c r="G75" s="16" t="n">
        <v>19</v>
      </c>
      <c r="H75" s="29" t="n">
        <v>14601.6</v>
      </c>
      <c r="I75" s="29" t="n">
        <f aca="false">H75/G75</f>
        <v>768.505263157895</v>
      </c>
      <c r="J75" s="15" t="s">
        <v>142</v>
      </c>
      <c r="K75" s="15" t="s">
        <v>143</v>
      </c>
    </row>
    <row r="76" customFormat="false" ht="18.75" hidden="false" customHeight="true" outlineLevel="0" collapsed="false">
      <c r="A76" s="10" t="s">
        <v>303</v>
      </c>
      <c r="B76" s="10" t="s">
        <v>304</v>
      </c>
      <c r="C76" s="10" t="s">
        <v>166</v>
      </c>
      <c r="D76" s="10" t="s">
        <v>35</v>
      </c>
      <c r="E76" s="10" t="s">
        <v>141</v>
      </c>
      <c r="F76" s="11" t="n">
        <v>107</v>
      </c>
      <c r="G76" s="11" t="n">
        <v>3</v>
      </c>
      <c r="H76" s="26" t="n">
        <v>14352</v>
      </c>
      <c r="I76" s="26" t="n">
        <f aca="false">H76/G76</f>
        <v>4784</v>
      </c>
      <c r="J76" s="10" t="s">
        <v>253</v>
      </c>
      <c r="K76" s="10" t="s">
        <v>254</v>
      </c>
    </row>
    <row r="77" customFormat="false" ht="18.75" hidden="false" customHeight="true" outlineLevel="0" collapsed="false">
      <c r="A77" s="15" t="s">
        <v>305</v>
      </c>
      <c r="B77" s="15" t="s">
        <v>306</v>
      </c>
      <c r="C77" s="15" t="s">
        <v>163</v>
      </c>
      <c r="D77" s="15" t="s">
        <v>36</v>
      </c>
      <c r="E77" s="15" t="s">
        <v>141</v>
      </c>
      <c r="F77" s="16" t="n">
        <v>128</v>
      </c>
      <c r="G77" s="16" t="n">
        <v>3</v>
      </c>
      <c r="H77" s="29" t="n">
        <v>14019.88</v>
      </c>
      <c r="I77" s="29" t="n">
        <f aca="false">H77/G77</f>
        <v>4673.29333333333</v>
      </c>
      <c r="J77" s="15" t="s">
        <v>253</v>
      </c>
      <c r="K77" s="15" t="s">
        <v>254</v>
      </c>
    </row>
    <row r="78" customFormat="false" ht="18.75" hidden="false" customHeight="true" outlineLevel="0" collapsed="false">
      <c r="A78" s="10" t="s">
        <v>307</v>
      </c>
      <c r="B78" s="10" t="s">
        <v>308</v>
      </c>
      <c r="C78" s="10" t="s">
        <v>166</v>
      </c>
      <c r="D78" s="10" t="s">
        <v>35</v>
      </c>
      <c r="E78" s="10" t="s">
        <v>284</v>
      </c>
      <c r="F78" s="11" t="n">
        <v>0</v>
      </c>
      <c r="G78" s="11" t="n">
        <v>24</v>
      </c>
      <c r="H78" s="26" t="n">
        <v>14004.92</v>
      </c>
      <c r="I78" s="26" t="n">
        <f aca="false">H78/G78</f>
        <v>583.538333333333</v>
      </c>
      <c r="J78" s="10" t="s">
        <v>142</v>
      </c>
      <c r="K78" s="10" t="s">
        <v>143</v>
      </c>
    </row>
    <row r="79" customFormat="false" ht="18.75" hidden="false" customHeight="true" outlineLevel="0" collapsed="false">
      <c r="A79" s="15" t="s">
        <v>309</v>
      </c>
      <c r="B79" s="15" t="s">
        <v>310</v>
      </c>
      <c r="C79" s="15" t="s">
        <v>181</v>
      </c>
      <c r="D79" s="15" t="s">
        <v>36</v>
      </c>
      <c r="E79" s="15" t="s">
        <v>284</v>
      </c>
      <c r="F79" s="16" t="n">
        <v>5</v>
      </c>
      <c r="G79" s="16" t="n">
        <v>24</v>
      </c>
      <c r="H79" s="29" t="n">
        <v>13782.97</v>
      </c>
      <c r="I79" s="29" t="n">
        <f aca="false">H79/G79</f>
        <v>574.290416666667</v>
      </c>
      <c r="J79" s="15" t="s">
        <v>142</v>
      </c>
      <c r="K79" s="15" t="s">
        <v>143</v>
      </c>
    </row>
    <row r="80" customFormat="false" ht="18.75" hidden="false" customHeight="true" outlineLevel="0" collapsed="false">
      <c r="A80" s="10" t="s">
        <v>311</v>
      </c>
      <c r="B80" s="10" t="s">
        <v>312</v>
      </c>
      <c r="C80" s="10" t="s">
        <v>163</v>
      </c>
      <c r="D80" s="10" t="s">
        <v>36</v>
      </c>
      <c r="E80" s="10" t="s">
        <v>284</v>
      </c>
      <c r="F80" s="11" t="n">
        <v>9</v>
      </c>
      <c r="G80" s="11" t="n">
        <v>24</v>
      </c>
      <c r="H80" s="26" t="n">
        <v>13555.32</v>
      </c>
      <c r="I80" s="26" t="n">
        <f aca="false">H80/G80</f>
        <v>564.805</v>
      </c>
      <c r="J80" s="10" t="s">
        <v>142</v>
      </c>
      <c r="K80" s="10" t="s">
        <v>143</v>
      </c>
    </row>
    <row r="81" customFormat="false" ht="18.75" hidden="false" customHeight="true" outlineLevel="0" collapsed="false">
      <c r="A81" s="15" t="s">
        <v>313</v>
      </c>
      <c r="B81" s="15" t="s">
        <v>314</v>
      </c>
      <c r="C81" s="15" t="s">
        <v>184</v>
      </c>
      <c r="D81" s="15" t="s">
        <v>34</v>
      </c>
      <c r="E81" s="15" t="s">
        <v>284</v>
      </c>
      <c r="F81" s="16" t="n">
        <v>8</v>
      </c>
      <c r="G81" s="16" t="n">
        <v>22</v>
      </c>
      <c r="H81" s="29" t="n">
        <v>13156.81</v>
      </c>
      <c r="I81" s="29" t="n">
        <f aca="false">H81/G81</f>
        <v>598.036818181818</v>
      </c>
      <c r="J81" s="15" t="s">
        <v>142</v>
      </c>
      <c r="K81" s="15" t="s">
        <v>143</v>
      </c>
    </row>
    <row r="82" customFormat="false" ht="18.75" hidden="false" customHeight="true" outlineLevel="0" collapsed="false">
      <c r="A82" s="10" t="s">
        <v>315</v>
      </c>
      <c r="B82" s="10" t="s">
        <v>316</v>
      </c>
      <c r="C82" s="10" t="s">
        <v>155</v>
      </c>
      <c r="D82" s="10" t="s">
        <v>34</v>
      </c>
      <c r="E82" s="10" t="s">
        <v>284</v>
      </c>
      <c r="F82" s="11" t="n">
        <v>29</v>
      </c>
      <c r="G82" s="11" t="n">
        <v>20</v>
      </c>
      <c r="H82" s="26" t="n">
        <v>13101.38</v>
      </c>
      <c r="I82" s="26" t="n">
        <f aca="false">H82/G82</f>
        <v>655.069</v>
      </c>
      <c r="J82" s="10" t="s">
        <v>171</v>
      </c>
      <c r="K82" s="10" t="s">
        <v>172</v>
      </c>
    </row>
    <row r="83" customFormat="false" ht="18.75" hidden="false" customHeight="true" outlineLevel="0" collapsed="false">
      <c r="A83" s="15" t="s">
        <v>317</v>
      </c>
      <c r="B83" s="15" t="s">
        <v>318</v>
      </c>
      <c r="C83" s="15" t="s">
        <v>146</v>
      </c>
      <c r="D83" s="15" t="s">
        <v>34</v>
      </c>
      <c r="E83" s="15" t="s">
        <v>284</v>
      </c>
      <c r="F83" s="16" t="n">
        <v>6</v>
      </c>
      <c r="G83" s="16" t="n">
        <v>26</v>
      </c>
      <c r="H83" s="29" t="n">
        <v>13021.22</v>
      </c>
      <c r="I83" s="29" t="n">
        <f aca="false">H83/G83</f>
        <v>500.816153846154</v>
      </c>
      <c r="J83" s="15" t="s">
        <v>142</v>
      </c>
      <c r="K83" s="15" t="s">
        <v>143</v>
      </c>
    </row>
    <row r="84" customFormat="false" ht="18.75" hidden="false" customHeight="true" outlineLevel="0" collapsed="false">
      <c r="A84" s="10" t="s">
        <v>319</v>
      </c>
      <c r="B84" s="10" t="s">
        <v>320</v>
      </c>
      <c r="C84" s="10" t="s">
        <v>219</v>
      </c>
      <c r="D84" s="10" t="s">
        <v>35</v>
      </c>
      <c r="E84" s="10" t="s">
        <v>284</v>
      </c>
      <c r="F84" s="11" t="n">
        <v>21</v>
      </c>
      <c r="G84" s="11" t="n">
        <v>24</v>
      </c>
      <c r="H84" s="26" t="n">
        <v>12786.99</v>
      </c>
      <c r="I84" s="26" t="n">
        <f aca="false">H84/G84</f>
        <v>532.79125</v>
      </c>
      <c r="J84" s="10" t="s">
        <v>142</v>
      </c>
      <c r="K84" s="10" t="s">
        <v>143</v>
      </c>
    </row>
    <row r="85" customFormat="false" ht="18.75" hidden="false" customHeight="true" outlineLevel="0" collapsed="false">
      <c r="A85" s="15" t="s">
        <v>321</v>
      </c>
      <c r="B85" s="15" t="s">
        <v>322</v>
      </c>
      <c r="C85" s="15" t="s">
        <v>149</v>
      </c>
      <c r="D85" s="15" t="s">
        <v>35</v>
      </c>
      <c r="E85" s="15" t="s">
        <v>284</v>
      </c>
      <c r="F85" s="16" t="n">
        <v>13</v>
      </c>
      <c r="G85" s="16" t="n">
        <v>24</v>
      </c>
      <c r="H85" s="29" t="n">
        <v>12760.76</v>
      </c>
      <c r="I85" s="29" t="n">
        <f aca="false">H85/G85</f>
        <v>531.698333333333</v>
      </c>
      <c r="J85" s="15" t="s">
        <v>142</v>
      </c>
      <c r="K85" s="15" t="s">
        <v>143</v>
      </c>
    </row>
    <row r="86" customFormat="false" ht="18.75" hidden="false" customHeight="true" outlineLevel="0" collapsed="false">
      <c r="A86" s="10" t="s">
        <v>323</v>
      </c>
      <c r="B86" s="10" t="s">
        <v>324</v>
      </c>
      <c r="C86" s="10" t="s">
        <v>140</v>
      </c>
      <c r="D86" s="10" t="s">
        <v>35</v>
      </c>
      <c r="E86" s="10" t="s">
        <v>284</v>
      </c>
      <c r="F86" s="11" t="n">
        <v>6</v>
      </c>
      <c r="G86" s="11" t="n">
        <v>24</v>
      </c>
      <c r="H86" s="26" t="n">
        <v>12622.01</v>
      </c>
      <c r="I86" s="26" t="n">
        <f aca="false">H86/G86</f>
        <v>525.917083333333</v>
      </c>
      <c r="J86" s="10" t="s">
        <v>142</v>
      </c>
      <c r="K86" s="10" t="s">
        <v>143</v>
      </c>
    </row>
    <row r="87" customFormat="false" ht="18.75" hidden="false" customHeight="true" outlineLevel="0" collapsed="false">
      <c r="A87" s="15" t="s">
        <v>325</v>
      </c>
      <c r="B87" s="15" t="s">
        <v>326</v>
      </c>
      <c r="C87" s="15" t="s">
        <v>216</v>
      </c>
      <c r="D87" s="15" t="s">
        <v>34</v>
      </c>
      <c r="E87" s="15" t="s">
        <v>284</v>
      </c>
      <c r="F87" s="16" t="n">
        <v>45</v>
      </c>
      <c r="G87" s="16" t="n">
        <v>16</v>
      </c>
      <c r="H87" s="29" t="n">
        <v>12612.04</v>
      </c>
      <c r="I87" s="29" t="n">
        <f aca="false">H87/G87</f>
        <v>788.2525</v>
      </c>
      <c r="J87" s="15" t="s">
        <v>171</v>
      </c>
      <c r="K87" s="15" t="s">
        <v>172</v>
      </c>
    </row>
    <row r="88" customFormat="false" ht="18.75" hidden="false" customHeight="true" outlineLevel="0" collapsed="false">
      <c r="A88" s="10" t="s">
        <v>327</v>
      </c>
      <c r="B88" s="10" t="s">
        <v>328</v>
      </c>
      <c r="C88" s="10" t="s">
        <v>149</v>
      </c>
      <c r="D88" s="10" t="s">
        <v>35</v>
      </c>
      <c r="E88" s="10" t="s">
        <v>284</v>
      </c>
      <c r="F88" s="11" t="n">
        <v>5</v>
      </c>
      <c r="G88" s="11" t="n">
        <v>21</v>
      </c>
      <c r="H88" s="26" t="n">
        <v>12593.96</v>
      </c>
      <c r="I88" s="26" t="n">
        <f aca="false">H88/G88</f>
        <v>599.712380952381</v>
      </c>
      <c r="J88" s="10" t="s">
        <v>142</v>
      </c>
      <c r="K88" s="10" t="s">
        <v>143</v>
      </c>
    </row>
    <row r="89" customFormat="false" ht="18.75" hidden="false" customHeight="true" outlineLevel="0" collapsed="false">
      <c r="A89" s="15" t="s">
        <v>329</v>
      </c>
      <c r="B89" s="15" t="s">
        <v>330</v>
      </c>
      <c r="C89" s="15" t="s">
        <v>216</v>
      </c>
      <c r="D89" s="15" t="s">
        <v>34</v>
      </c>
      <c r="E89" s="15" t="s">
        <v>284</v>
      </c>
      <c r="F89" s="16" t="n">
        <v>26</v>
      </c>
      <c r="G89" s="16" t="n">
        <v>22</v>
      </c>
      <c r="H89" s="29" t="n">
        <v>12545.19</v>
      </c>
      <c r="I89" s="29" t="n">
        <f aca="false">H89/G89</f>
        <v>570.235909090909</v>
      </c>
      <c r="J89" s="15" t="s">
        <v>171</v>
      </c>
      <c r="K89" s="15" t="s">
        <v>172</v>
      </c>
    </row>
    <row r="90" customFormat="false" ht="18.75" hidden="false" customHeight="true" outlineLevel="0" collapsed="false">
      <c r="A90" s="10" t="s">
        <v>331</v>
      </c>
      <c r="B90" s="10" t="s">
        <v>332</v>
      </c>
      <c r="C90" s="10" t="s">
        <v>152</v>
      </c>
      <c r="D90" s="10" t="s">
        <v>35</v>
      </c>
      <c r="E90" s="10" t="s">
        <v>284</v>
      </c>
      <c r="F90" s="11" t="n">
        <v>3</v>
      </c>
      <c r="G90" s="11" t="n">
        <v>24</v>
      </c>
      <c r="H90" s="26" t="n">
        <v>12442.69</v>
      </c>
      <c r="I90" s="26" t="n">
        <f aca="false">H90/G90</f>
        <v>518.445416666667</v>
      </c>
      <c r="J90" s="10" t="s">
        <v>142</v>
      </c>
      <c r="K90" s="10" t="s">
        <v>143</v>
      </c>
    </row>
    <row r="91" customFormat="false" ht="18.75" hidden="false" customHeight="true" outlineLevel="0" collapsed="false">
      <c r="A91" s="15" t="s">
        <v>333</v>
      </c>
      <c r="B91" s="15" t="s">
        <v>334</v>
      </c>
      <c r="C91" s="15" t="s">
        <v>166</v>
      </c>
      <c r="D91" s="15" t="s">
        <v>35</v>
      </c>
      <c r="E91" s="15" t="s">
        <v>284</v>
      </c>
      <c r="F91" s="16" t="n">
        <v>17</v>
      </c>
      <c r="G91" s="16" t="n">
        <v>24</v>
      </c>
      <c r="H91" s="29" t="n">
        <v>12314.21</v>
      </c>
      <c r="I91" s="29" t="n">
        <f aca="false">H91/G91</f>
        <v>513.092083333333</v>
      </c>
      <c r="J91" s="15" t="s">
        <v>142</v>
      </c>
      <c r="K91" s="15" t="s">
        <v>143</v>
      </c>
    </row>
    <row r="92" customFormat="false" ht="18.75" hidden="false" customHeight="true" outlineLevel="0" collapsed="false">
      <c r="A92" s="10" t="s">
        <v>335</v>
      </c>
      <c r="B92" s="10" t="s">
        <v>336</v>
      </c>
      <c r="C92" s="10" t="s">
        <v>219</v>
      </c>
      <c r="D92" s="10" t="s">
        <v>35</v>
      </c>
      <c r="E92" s="10" t="s">
        <v>141</v>
      </c>
      <c r="F92" s="11" t="n">
        <v>2</v>
      </c>
      <c r="G92" s="11" t="n">
        <v>5</v>
      </c>
      <c r="H92" s="26" t="n">
        <v>12228.64</v>
      </c>
      <c r="I92" s="26" t="n">
        <f aca="false">H92/G92</f>
        <v>2445.728</v>
      </c>
      <c r="J92" s="10" t="s">
        <v>171</v>
      </c>
      <c r="K92" s="10" t="s">
        <v>172</v>
      </c>
    </row>
    <row r="93" customFormat="false" ht="18.75" hidden="false" customHeight="true" outlineLevel="0" collapsed="false">
      <c r="A93" s="15" t="s">
        <v>337</v>
      </c>
      <c r="B93" s="15" t="s">
        <v>338</v>
      </c>
      <c r="C93" s="15" t="s">
        <v>207</v>
      </c>
      <c r="D93" s="15" t="s">
        <v>35</v>
      </c>
      <c r="E93" s="15" t="s">
        <v>284</v>
      </c>
      <c r="F93" s="16" t="n">
        <v>10</v>
      </c>
      <c r="G93" s="16" t="n">
        <v>25</v>
      </c>
      <c r="H93" s="29" t="n">
        <v>12004.63</v>
      </c>
      <c r="I93" s="29" t="n">
        <f aca="false">H93/G93</f>
        <v>480.1852</v>
      </c>
      <c r="J93" s="15" t="s">
        <v>142</v>
      </c>
      <c r="K93" s="15" t="s">
        <v>143</v>
      </c>
    </row>
    <row r="94" customFormat="false" ht="18.75" hidden="false" customHeight="true" outlineLevel="0" collapsed="false">
      <c r="A94" s="10" t="s">
        <v>339</v>
      </c>
      <c r="B94" s="10" t="s">
        <v>340</v>
      </c>
      <c r="C94" s="10" t="s">
        <v>146</v>
      </c>
      <c r="D94" s="10" t="s">
        <v>34</v>
      </c>
      <c r="E94" s="10" t="s">
        <v>284</v>
      </c>
      <c r="F94" s="11" t="n">
        <v>37</v>
      </c>
      <c r="G94" s="11" t="n">
        <v>19</v>
      </c>
      <c r="H94" s="26" t="n">
        <v>11990.98</v>
      </c>
      <c r="I94" s="26" t="n">
        <f aca="false">H94/G94</f>
        <v>631.104210526316</v>
      </c>
      <c r="J94" s="10" t="s">
        <v>171</v>
      </c>
      <c r="K94" s="10" t="s">
        <v>172</v>
      </c>
    </row>
    <row r="95" customFormat="false" ht="18.75" hidden="false" customHeight="true" outlineLevel="0" collapsed="false">
      <c r="A95" s="15" t="s">
        <v>341</v>
      </c>
      <c r="B95" s="15" t="s">
        <v>342</v>
      </c>
      <c r="C95" s="15" t="s">
        <v>146</v>
      </c>
      <c r="D95" s="15" t="s">
        <v>34</v>
      </c>
      <c r="E95" s="15" t="s">
        <v>141</v>
      </c>
      <c r="F95" s="16" t="n">
        <v>94</v>
      </c>
      <c r="G95" s="16" t="n">
        <v>2</v>
      </c>
      <c r="H95" s="29" t="n">
        <v>11977.94</v>
      </c>
      <c r="I95" s="29" t="n">
        <f aca="false">H95/G95</f>
        <v>5988.97</v>
      </c>
      <c r="J95" s="15" t="s">
        <v>253</v>
      </c>
      <c r="K95" s="15" t="s">
        <v>254</v>
      </c>
    </row>
    <row r="96" customFormat="false" ht="18.75" hidden="false" customHeight="true" outlineLevel="0" collapsed="false">
      <c r="A96" s="10" t="s">
        <v>343</v>
      </c>
      <c r="B96" s="10" t="s">
        <v>344</v>
      </c>
      <c r="C96" s="10" t="s">
        <v>219</v>
      </c>
      <c r="D96" s="10" t="s">
        <v>35</v>
      </c>
      <c r="E96" s="10" t="s">
        <v>284</v>
      </c>
      <c r="F96" s="11" t="n">
        <v>9</v>
      </c>
      <c r="G96" s="11" t="n">
        <v>21</v>
      </c>
      <c r="H96" s="26" t="n">
        <v>11935.7</v>
      </c>
      <c r="I96" s="26" t="n">
        <f aca="false">H96/G96</f>
        <v>568.366666666667</v>
      </c>
      <c r="J96" s="10" t="s">
        <v>142</v>
      </c>
      <c r="K96" s="10" t="s">
        <v>143</v>
      </c>
    </row>
    <row r="97" customFormat="false" ht="18.75" hidden="false" customHeight="true" outlineLevel="0" collapsed="false">
      <c r="A97" s="15" t="s">
        <v>345</v>
      </c>
      <c r="B97" s="15" t="s">
        <v>346</v>
      </c>
      <c r="C97" s="15" t="s">
        <v>226</v>
      </c>
      <c r="D97" s="15" t="s">
        <v>36</v>
      </c>
      <c r="E97" s="15" t="s">
        <v>284</v>
      </c>
      <c r="F97" s="16" t="n">
        <v>12</v>
      </c>
      <c r="G97" s="16" t="n">
        <v>18</v>
      </c>
      <c r="H97" s="29" t="n">
        <v>11798.12</v>
      </c>
      <c r="I97" s="29" t="n">
        <f aca="false">H97/G97</f>
        <v>655.451111111111</v>
      </c>
      <c r="J97" s="15" t="s">
        <v>142</v>
      </c>
      <c r="K97" s="15" t="s">
        <v>143</v>
      </c>
    </row>
    <row r="98" customFormat="false" ht="18.75" hidden="false" customHeight="true" outlineLevel="0" collapsed="false">
      <c r="A98" s="10" t="s">
        <v>347</v>
      </c>
      <c r="B98" s="10" t="s">
        <v>348</v>
      </c>
      <c r="C98" s="10" t="s">
        <v>146</v>
      </c>
      <c r="D98" s="10" t="s">
        <v>34</v>
      </c>
      <c r="E98" s="10" t="s">
        <v>284</v>
      </c>
      <c r="F98" s="11" t="n">
        <v>11</v>
      </c>
      <c r="G98" s="11" t="n">
        <v>23</v>
      </c>
      <c r="H98" s="26" t="n">
        <v>11793.22</v>
      </c>
      <c r="I98" s="26" t="n">
        <f aca="false">H98/G98</f>
        <v>512.748695652174</v>
      </c>
      <c r="J98" s="10" t="s">
        <v>142</v>
      </c>
      <c r="K98" s="10" t="s">
        <v>143</v>
      </c>
    </row>
    <row r="99" customFormat="false" ht="18.75" hidden="false" customHeight="true" outlineLevel="0" collapsed="false">
      <c r="A99" s="15" t="s">
        <v>349</v>
      </c>
      <c r="B99" s="15" t="s">
        <v>350</v>
      </c>
      <c r="C99" s="15" t="s">
        <v>163</v>
      </c>
      <c r="D99" s="15" t="s">
        <v>36</v>
      </c>
      <c r="E99" s="15" t="s">
        <v>284</v>
      </c>
      <c r="F99" s="16" t="n">
        <v>11</v>
      </c>
      <c r="G99" s="16" t="n">
        <v>23</v>
      </c>
      <c r="H99" s="29" t="n">
        <v>11745.16</v>
      </c>
      <c r="I99" s="29" t="n">
        <f aca="false">H99/G99</f>
        <v>510.659130434783</v>
      </c>
      <c r="J99" s="15" t="s">
        <v>142</v>
      </c>
      <c r="K99" s="15" t="s">
        <v>143</v>
      </c>
    </row>
    <row r="100" customFormat="false" ht="18.75" hidden="false" customHeight="true" outlineLevel="0" collapsed="false">
      <c r="A100" s="10" t="s">
        <v>351</v>
      </c>
      <c r="B100" s="10" t="s">
        <v>352</v>
      </c>
      <c r="C100" s="10" t="s">
        <v>219</v>
      </c>
      <c r="D100" s="10" t="s">
        <v>35</v>
      </c>
      <c r="E100" s="10" t="s">
        <v>284</v>
      </c>
      <c r="F100" s="11" t="n">
        <v>22</v>
      </c>
      <c r="G100" s="11" t="n">
        <v>25</v>
      </c>
      <c r="H100" s="26" t="n">
        <v>11684.67</v>
      </c>
      <c r="I100" s="26" t="n">
        <f aca="false">H100/G100</f>
        <v>467.3868</v>
      </c>
      <c r="J100" s="10" t="s">
        <v>142</v>
      </c>
      <c r="K100" s="10" t="s">
        <v>143</v>
      </c>
    </row>
    <row r="101" customFormat="false" ht="18.75" hidden="false" customHeight="true" outlineLevel="0" collapsed="false">
      <c r="A101" s="15" t="s">
        <v>353</v>
      </c>
      <c r="B101" s="15" t="s">
        <v>354</v>
      </c>
      <c r="C101" s="15" t="s">
        <v>155</v>
      </c>
      <c r="D101" s="15" t="s">
        <v>34</v>
      </c>
      <c r="E101" s="15" t="s">
        <v>284</v>
      </c>
      <c r="F101" s="16" t="n">
        <v>6</v>
      </c>
      <c r="G101" s="16" t="n">
        <v>23</v>
      </c>
      <c r="H101" s="29" t="n">
        <v>11655</v>
      </c>
      <c r="I101" s="29" t="n">
        <f aca="false">H101/G101</f>
        <v>506.739130434783</v>
      </c>
      <c r="J101" s="15" t="s">
        <v>142</v>
      </c>
      <c r="K101" s="15" t="s">
        <v>143</v>
      </c>
    </row>
    <row r="102" customFormat="false" ht="18.75" hidden="false" customHeight="true" outlineLevel="0" collapsed="false">
      <c r="A102" s="10" t="s">
        <v>355</v>
      </c>
      <c r="B102" s="10" t="s">
        <v>356</v>
      </c>
      <c r="C102" s="10" t="s">
        <v>166</v>
      </c>
      <c r="D102" s="10" t="s">
        <v>35</v>
      </c>
      <c r="E102" s="10" t="s">
        <v>284</v>
      </c>
      <c r="F102" s="11" t="n">
        <v>9</v>
      </c>
      <c r="G102" s="11" t="n">
        <v>20</v>
      </c>
      <c r="H102" s="26" t="n">
        <v>11611.22</v>
      </c>
      <c r="I102" s="26" t="n">
        <f aca="false">H102/G102</f>
        <v>580.561</v>
      </c>
      <c r="J102" s="10" t="s">
        <v>142</v>
      </c>
      <c r="K102" s="10" t="s">
        <v>143</v>
      </c>
    </row>
    <row r="103" customFormat="false" ht="18.75" hidden="false" customHeight="true" outlineLevel="0" collapsed="false">
      <c r="A103" s="15" t="s">
        <v>357</v>
      </c>
      <c r="B103" s="15" t="s">
        <v>358</v>
      </c>
      <c r="C103" s="15" t="s">
        <v>216</v>
      </c>
      <c r="D103" s="15" t="s">
        <v>34</v>
      </c>
      <c r="E103" s="15" t="s">
        <v>284</v>
      </c>
      <c r="F103" s="16" t="n">
        <v>3</v>
      </c>
      <c r="G103" s="16" t="n">
        <v>25</v>
      </c>
      <c r="H103" s="29" t="n">
        <v>11593.29</v>
      </c>
      <c r="I103" s="29" t="n">
        <f aca="false">H103/G103</f>
        <v>463.7316</v>
      </c>
      <c r="J103" s="15" t="s">
        <v>142</v>
      </c>
      <c r="K103" s="15" t="s">
        <v>143</v>
      </c>
    </row>
    <row r="104" customFormat="false" ht="18.75" hidden="false" customHeight="true" outlineLevel="0" collapsed="false">
      <c r="A104" s="10" t="s">
        <v>359</v>
      </c>
      <c r="B104" s="10" t="s">
        <v>360</v>
      </c>
      <c r="C104" s="10" t="s">
        <v>163</v>
      </c>
      <c r="D104" s="10" t="s">
        <v>36</v>
      </c>
      <c r="E104" s="10" t="s">
        <v>284</v>
      </c>
      <c r="F104" s="11" t="n">
        <v>2</v>
      </c>
      <c r="G104" s="11" t="n">
        <v>20</v>
      </c>
      <c r="H104" s="26" t="n">
        <v>11530.36</v>
      </c>
      <c r="I104" s="26" t="n">
        <f aca="false">H104/G104</f>
        <v>576.518</v>
      </c>
      <c r="J104" s="10" t="s">
        <v>142</v>
      </c>
      <c r="K104" s="10" t="s">
        <v>143</v>
      </c>
    </row>
    <row r="105" customFormat="false" ht="18.75" hidden="false" customHeight="true" outlineLevel="0" collapsed="false">
      <c r="A105" s="15" t="s">
        <v>361</v>
      </c>
      <c r="B105" s="15" t="s">
        <v>362</v>
      </c>
      <c r="C105" s="15" t="s">
        <v>149</v>
      </c>
      <c r="D105" s="15" t="s">
        <v>35</v>
      </c>
      <c r="E105" s="15" t="s">
        <v>284</v>
      </c>
      <c r="F105" s="16" t="n">
        <v>9</v>
      </c>
      <c r="G105" s="16" t="n">
        <v>21</v>
      </c>
      <c r="H105" s="29" t="n">
        <v>11504.38</v>
      </c>
      <c r="I105" s="29" t="n">
        <f aca="false">H105/G105</f>
        <v>547.827619047619</v>
      </c>
      <c r="J105" s="15" t="s">
        <v>142</v>
      </c>
      <c r="K105" s="15" t="s">
        <v>143</v>
      </c>
    </row>
    <row r="106" customFormat="false" ht="18.75" hidden="false" customHeight="true" outlineLevel="0" collapsed="false">
      <c r="A106" s="10" t="s">
        <v>363</v>
      </c>
      <c r="B106" s="10" t="s">
        <v>364</v>
      </c>
      <c r="C106" s="10" t="s">
        <v>184</v>
      </c>
      <c r="D106" s="10" t="s">
        <v>34</v>
      </c>
      <c r="E106" s="10" t="s">
        <v>284</v>
      </c>
      <c r="F106" s="11" t="n">
        <v>20</v>
      </c>
      <c r="G106" s="11" t="n">
        <v>22</v>
      </c>
      <c r="H106" s="26" t="n">
        <v>11436.21</v>
      </c>
      <c r="I106" s="26" t="n">
        <f aca="false">H106/G106</f>
        <v>519.827727272727</v>
      </c>
      <c r="J106" s="10" t="s">
        <v>142</v>
      </c>
      <c r="K106" s="10" t="s">
        <v>143</v>
      </c>
    </row>
    <row r="107" customFormat="false" ht="18.75" hidden="false" customHeight="true" outlineLevel="0" collapsed="false">
      <c r="A107" s="15" t="s">
        <v>365</v>
      </c>
      <c r="B107" s="15" t="s">
        <v>366</v>
      </c>
      <c r="C107" s="15" t="s">
        <v>216</v>
      </c>
      <c r="D107" s="15" t="s">
        <v>34</v>
      </c>
      <c r="E107" s="15" t="s">
        <v>141</v>
      </c>
      <c r="F107" s="16" t="n">
        <v>112</v>
      </c>
      <c r="G107" s="16" t="n">
        <v>6</v>
      </c>
      <c r="H107" s="29" t="n">
        <v>11350.04</v>
      </c>
      <c r="I107" s="29" t="n">
        <f aca="false">H107/G107</f>
        <v>1891.67333333333</v>
      </c>
      <c r="J107" s="15" t="s">
        <v>268</v>
      </c>
      <c r="K107" s="15" t="s">
        <v>269</v>
      </c>
    </row>
    <row r="108" customFormat="false" ht="18.75" hidden="false" customHeight="true" outlineLevel="0" collapsed="false">
      <c r="A108" s="10" t="s">
        <v>367</v>
      </c>
      <c r="B108" s="10" t="s">
        <v>358</v>
      </c>
      <c r="C108" s="10" t="s">
        <v>184</v>
      </c>
      <c r="D108" s="10" t="s">
        <v>34</v>
      </c>
      <c r="E108" s="10" t="s">
        <v>284</v>
      </c>
      <c r="F108" s="11" t="n">
        <v>2</v>
      </c>
      <c r="G108" s="11" t="n">
        <v>20</v>
      </c>
      <c r="H108" s="26" t="n">
        <v>11347.93</v>
      </c>
      <c r="I108" s="26" t="n">
        <f aca="false">H108/G108</f>
        <v>567.3965</v>
      </c>
      <c r="J108" s="10" t="s">
        <v>142</v>
      </c>
      <c r="K108" s="10" t="s">
        <v>143</v>
      </c>
    </row>
    <row r="109" customFormat="false" ht="18.75" hidden="false" customHeight="true" outlineLevel="0" collapsed="false">
      <c r="A109" s="15" t="s">
        <v>368</v>
      </c>
      <c r="B109" s="15" t="s">
        <v>369</v>
      </c>
      <c r="C109" s="15" t="s">
        <v>140</v>
      </c>
      <c r="D109" s="15" t="s">
        <v>35</v>
      </c>
      <c r="E109" s="15" t="s">
        <v>284</v>
      </c>
      <c r="F109" s="16" t="n">
        <v>27</v>
      </c>
      <c r="G109" s="16" t="n">
        <v>18</v>
      </c>
      <c r="H109" s="29" t="n">
        <v>11276.45</v>
      </c>
      <c r="I109" s="29" t="n">
        <f aca="false">H109/G109</f>
        <v>626.469444444444</v>
      </c>
      <c r="J109" s="15" t="s">
        <v>171</v>
      </c>
      <c r="K109" s="15" t="s">
        <v>172</v>
      </c>
    </row>
    <row r="110" customFormat="false" ht="18.75" hidden="false" customHeight="true" outlineLevel="0" collapsed="false">
      <c r="A110" s="10" t="s">
        <v>370</v>
      </c>
      <c r="B110" s="10" t="s">
        <v>371</v>
      </c>
      <c r="C110" s="10" t="s">
        <v>155</v>
      </c>
      <c r="D110" s="10" t="s">
        <v>34</v>
      </c>
      <c r="E110" s="10" t="s">
        <v>284</v>
      </c>
      <c r="F110" s="11" t="n">
        <v>22</v>
      </c>
      <c r="G110" s="11" t="n">
        <v>19</v>
      </c>
      <c r="H110" s="26" t="n">
        <v>11180</v>
      </c>
      <c r="I110" s="26" t="n">
        <f aca="false">H110/G110</f>
        <v>588.421052631579</v>
      </c>
      <c r="J110" s="10" t="s">
        <v>142</v>
      </c>
      <c r="K110" s="10" t="s">
        <v>143</v>
      </c>
    </row>
    <row r="111" customFormat="false" ht="18.75" hidden="false" customHeight="true" outlineLevel="0" collapsed="false">
      <c r="A111" s="15" t="s">
        <v>372</v>
      </c>
      <c r="B111" s="15" t="s">
        <v>373</v>
      </c>
      <c r="C111" s="15" t="s">
        <v>166</v>
      </c>
      <c r="D111" s="15" t="s">
        <v>35</v>
      </c>
      <c r="E111" s="15" t="s">
        <v>141</v>
      </c>
      <c r="F111" s="16" t="n">
        <v>1</v>
      </c>
      <c r="G111" s="16" t="n">
        <v>5</v>
      </c>
      <c r="H111" s="29" t="n">
        <v>11075.88</v>
      </c>
      <c r="I111" s="29" t="n">
        <f aca="false">H111/G111</f>
        <v>2215.176</v>
      </c>
      <c r="J111" s="15" t="s">
        <v>171</v>
      </c>
      <c r="K111" s="15" t="s">
        <v>172</v>
      </c>
    </row>
    <row r="112" customFormat="false" ht="18.75" hidden="false" customHeight="true" outlineLevel="0" collapsed="false">
      <c r="A112" s="10" t="s">
        <v>374</v>
      </c>
      <c r="B112" s="10" t="s">
        <v>375</v>
      </c>
      <c r="C112" s="10" t="s">
        <v>163</v>
      </c>
      <c r="D112" s="10" t="s">
        <v>36</v>
      </c>
      <c r="E112" s="10" t="s">
        <v>284</v>
      </c>
      <c r="F112" s="11" t="n">
        <v>2</v>
      </c>
      <c r="G112" s="11" t="n">
        <v>24</v>
      </c>
      <c r="H112" s="26" t="n">
        <v>11058.44</v>
      </c>
      <c r="I112" s="26" t="n">
        <f aca="false">H112/G112</f>
        <v>460.768333333333</v>
      </c>
      <c r="J112" s="10" t="s">
        <v>142</v>
      </c>
      <c r="K112" s="10" t="s">
        <v>143</v>
      </c>
    </row>
    <row r="113" customFormat="false" ht="18.75" hidden="false" customHeight="true" outlineLevel="0" collapsed="false">
      <c r="A113" s="15" t="s">
        <v>376</v>
      </c>
      <c r="B113" s="15" t="s">
        <v>377</v>
      </c>
      <c r="C113" s="15" t="s">
        <v>146</v>
      </c>
      <c r="D113" s="15" t="s">
        <v>34</v>
      </c>
      <c r="E113" s="15" t="s">
        <v>141</v>
      </c>
      <c r="F113" s="16" t="n">
        <v>224</v>
      </c>
      <c r="G113" s="16" t="n">
        <v>3</v>
      </c>
      <c r="H113" s="29" t="n">
        <v>10910.28</v>
      </c>
      <c r="I113" s="29" t="n">
        <f aca="false">H113/G113</f>
        <v>3636.76</v>
      </c>
      <c r="J113" s="15" t="s">
        <v>253</v>
      </c>
      <c r="K113" s="15" t="s">
        <v>254</v>
      </c>
    </row>
    <row r="114" customFormat="false" ht="18.75" hidden="false" customHeight="true" outlineLevel="0" collapsed="false">
      <c r="A114" s="10" t="s">
        <v>378</v>
      </c>
      <c r="B114" s="10" t="s">
        <v>379</v>
      </c>
      <c r="C114" s="10" t="s">
        <v>149</v>
      </c>
      <c r="D114" s="10" t="s">
        <v>35</v>
      </c>
      <c r="E114" s="10" t="s">
        <v>284</v>
      </c>
      <c r="F114" s="11" t="n">
        <v>24</v>
      </c>
      <c r="G114" s="11" t="n">
        <v>23</v>
      </c>
      <c r="H114" s="26" t="n">
        <v>10883.04</v>
      </c>
      <c r="I114" s="26" t="n">
        <f aca="false">H114/G114</f>
        <v>473.175652173913</v>
      </c>
      <c r="J114" s="10" t="s">
        <v>142</v>
      </c>
      <c r="K114" s="10" t="s">
        <v>143</v>
      </c>
    </row>
    <row r="115" customFormat="false" ht="18.75" hidden="false" customHeight="true" outlineLevel="0" collapsed="false">
      <c r="A115" s="15" t="s">
        <v>380</v>
      </c>
      <c r="B115" s="15" t="s">
        <v>381</v>
      </c>
      <c r="C115" s="15" t="s">
        <v>149</v>
      </c>
      <c r="D115" s="15" t="s">
        <v>35</v>
      </c>
      <c r="E115" s="15" t="s">
        <v>284</v>
      </c>
      <c r="F115" s="16" t="n">
        <v>12</v>
      </c>
      <c r="G115" s="16" t="n">
        <v>21</v>
      </c>
      <c r="H115" s="29" t="n">
        <v>10812.78</v>
      </c>
      <c r="I115" s="29" t="n">
        <f aca="false">H115/G115</f>
        <v>514.894285714286</v>
      </c>
      <c r="J115" s="15" t="s">
        <v>142</v>
      </c>
      <c r="K115" s="15" t="s">
        <v>143</v>
      </c>
    </row>
    <row r="116" customFormat="false" ht="18.75" hidden="false" customHeight="true" outlineLevel="0" collapsed="false">
      <c r="A116" s="10" t="s">
        <v>382</v>
      </c>
      <c r="B116" s="10" t="s">
        <v>383</v>
      </c>
      <c r="C116" s="10" t="s">
        <v>140</v>
      </c>
      <c r="D116" s="10" t="s">
        <v>35</v>
      </c>
      <c r="E116" s="10" t="s">
        <v>384</v>
      </c>
      <c r="F116" s="11" t="n">
        <v>68</v>
      </c>
      <c r="G116" s="11" t="n">
        <v>19</v>
      </c>
      <c r="H116" s="26" t="n">
        <v>10809.6</v>
      </c>
      <c r="I116" s="26" t="n">
        <f aca="false">H116/G116</f>
        <v>568.926315789474</v>
      </c>
      <c r="J116" s="10" t="s">
        <v>189</v>
      </c>
      <c r="K116" s="10" t="s">
        <v>190</v>
      </c>
    </row>
    <row r="117" customFormat="false" ht="18.75" hidden="false" customHeight="true" outlineLevel="0" collapsed="false">
      <c r="A117" s="15" t="s">
        <v>385</v>
      </c>
      <c r="B117" s="15" t="s">
        <v>386</v>
      </c>
      <c r="C117" s="15" t="s">
        <v>155</v>
      </c>
      <c r="D117" s="15" t="s">
        <v>34</v>
      </c>
      <c r="E117" s="15" t="s">
        <v>284</v>
      </c>
      <c r="F117" s="16" t="n">
        <v>18</v>
      </c>
      <c r="G117" s="16" t="n">
        <v>21</v>
      </c>
      <c r="H117" s="29" t="n">
        <v>10762.04</v>
      </c>
      <c r="I117" s="29" t="n">
        <f aca="false">H117/G117</f>
        <v>512.478095238095</v>
      </c>
      <c r="J117" s="15" t="s">
        <v>142</v>
      </c>
      <c r="K117" s="15" t="s">
        <v>143</v>
      </c>
    </row>
    <row r="118" customFormat="false" ht="18.75" hidden="false" customHeight="true" outlineLevel="0" collapsed="false">
      <c r="A118" s="10" t="s">
        <v>387</v>
      </c>
      <c r="B118" s="10" t="s">
        <v>388</v>
      </c>
      <c r="C118" s="10" t="s">
        <v>184</v>
      </c>
      <c r="D118" s="10" t="s">
        <v>34</v>
      </c>
      <c r="E118" s="10" t="s">
        <v>284</v>
      </c>
      <c r="F118" s="11" t="n">
        <v>3</v>
      </c>
      <c r="G118" s="11" t="n">
        <v>23</v>
      </c>
      <c r="H118" s="26" t="n">
        <v>10506.67</v>
      </c>
      <c r="I118" s="26" t="n">
        <f aca="false">H118/G118</f>
        <v>456.811739130435</v>
      </c>
      <c r="J118" s="10" t="s">
        <v>142</v>
      </c>
      <c r="K118" s="10" t="s">
        <v>143</v>
      </c>
    </row>
    <row r="119" customFormat="false" ht="18.75" hidden="false" customHeight="true" outlineLevel="0" collapsed="false">
      <c r="A119" s="15" t="s">
        <v>389</v>
      </c>
      <c r="B119" s="15" t="s">
        <v>390</v>
      </c>
      <c r="C119" s="15" t="s">
        <v>181</v>
      </c>
      <c r="D119" s="15" t="s">
        <v>36</v>
      </c>
      <c r="E119" s="15" t="s">
        <v>284</v>
      </c>
      <c r="F119" s="16" t="n">
        <v>8</v>
      </c>
      <c r="G119" s="16" t="n">
        <v>19</v>
      </c>
      <c r="H119" s="29" t="n">
        <v>10464.18</v>
      </c>
      <c r="I119" s="29" t="n">
        <f aca="false">H119/G119</f>
        <v>550.746315789474</v>
      </c>
      <c r="J119" s="15" t="s">
        <v>142</v>
      </c>
      <c r="K119" s="15" t="s">
        <v>143</v>
      </c>
    </row>
    <row r="120" customFormat="false" ht="18.75" hidden="false" customHeight="true" outlineLevel="0" collapsed="false">
      <c r="A120" s="10" t="s">
        <v>391</v>
      </c>
      <c r="B120" s="10" t="s">
        <v>392</v>
      </c>
      <c r="C120" s="10" t="s">
        <v>152</v>
      </c>
      <c r="D120" s="10" t="s">
        <v>35</v>
      </c>
      <c r="E120" s="10" t="s">
        <v>284</v>
      </c>
      <c r="F120" s="11" t="n">
        <v>9</v>
      </c>
      <c r="G120" s="11" t="n">
        <v>17</v>
      </c>
      <c r="H120" s="26" t="n">
        <v>10386.32</v>
      </c>
      <c r="I120" s="26" t="n">
        <f aca="false">H120/G120</f>
        <v>610.96</v>
      </c>
      <c r="J120" s="10" t="s">
        <v>142</v>
      </c>
      <c r="K120" s="10" t="s">
        <v>143</v>
      </c>
    </row>
    <row r="121" customFormat="false" ht="18.75" hidden="false" customHeight="true" outlineLevel="0" collapsed="false">
      <c r="A121" s="15" t="s">
        <v>393</v>
      </c>
      <c r="B121" s="15" t="s">
        <v>394</v>
      </c>
      <c r="C121" s="15" t="s">
        <v>184</v>
      </c>
      <c r="D121" s="15" t="s">
        <v>34</v>
      </c>
      <c r="E121" s="15" t="s">
        <v>141</v>
      </c>
      <c r="F121" s="16" t="n">
        <v>94</v>
      </c>
      <c r="G121" s="16" t="n">
        <v>2</v>
      </c>
      <c r="H121" s="29" t="n">
        <v>10361.96</v>
      </c>
      <c r="I121" s="29" t="n">
        <f aca="false">H121/G121</f>
        <v>5180.98</v>
      </c>
      <c r="J121" s="15" t="s">
        <v>253</v>
      </c>
      <c r="K121" s="15" t="s">
        <v>254</v>
      </c>
    </row>
    <row r="122" customFormat="false" ht="18.75" hidden="false" customHeight="true" outlineLevel="0" collapsed="false">
      <c r="A122" s="10" t="s">
        <v>395</v>
      </c>
      <c r="B122" s="10" t="s">
        <v>396</v>
      </c>
      <c r="C122" s="10" t="s">
        <v>207</v>
      </c>
      <c r="D122" s="10" t="s">
        <v>35</v>
      </c>
      <c r="E122" s="10" t="s">
        <v>141</v>
      </c>
      <c r="F122" s="11" t="n">
        <v>84</v>
      </c>
      <c r="G122" s="11" t="n">
        <v>5</v>
      </c>
      <c r="H122" s="26" t="n">
        <v>10314.12</v>
      </c>
      <c r="I122" s="26" t="n">
        <f aca="false">H122/G122</f>
        <v>2062.824</v>
      </c>
      <c r="J122" s="10" t="s">
        <v>189</v>
      </c>
      <c r="K122" s="10" t="s">
        <v>190</v>
      </c>
    </row>
    <row r="123" customFormat="false" ht="18.75" hidden="false" customHeight="true" outlineLevel="0" collapsed="false">
      <c r="A123" s="15" t="s">
        <v>397</v>
      </c>
      <c r="B123" s="15" t="s">
        <v>398</v>
      </c>
      <c r="C123" s="15" t="s">
        <v>184</v>
      </c>
      <c r="D123" s="15" t="s">
        <v>34</v>
      </c>
      <c r="E123" s="15" t="s">
        <v>284</v>
      </c>
      <c r="F123" s="16" t="n">
        <v>17</v>
      </c>
      <c r="G123" s="16" t="n">
        <v>20</v>
      </c>
      <c r="H123" s="29" t="n">
        <v>10311.38</v>
      </c>
      <c r="I123" s="29" t="n">
        <f aca="false">H123/G123</f>
        <v>515.569</v>
      </c>
      <c r="J123" s="15" t="s">
        <v>142</v>
      </c>
      <c r="K123" s="15" t="s">
        <v>143</v>
      </c>
    </row>
    <row r="124" customFormat="false" ht="18.75" hidden="false" customHeight="true" outlineLevel="0" collapsed="false">
      <c r="A124" s="10" t="s">
        <v>399</v>
      </c>
      <c r="B124" s="10" t="s">
        <v>400</v>
      </c>
      <c r="C124" s="10" t="s">
        <v>163</v>
      </c>
      <c r="D124" s="10" t="s">
        <v>36</v>
      </c>
      <c r="E124" s="10" t="s">
        <v>284</v>
      </c>
      <c r="F124" s="11" t="n">
        <v>8</v>
      </c>
      <c r="G124" s="11" t="n">
        <v>22</v>
      </c>
      <c r="H124" s="26" t="n">
        <v>10228.8</v>
      </c>
      <c r="I124" s="26" t="n">
        <f aca="false">H124/G124</f>
        <v>464.945454545455</v>
      </c>
      <c r="J124" s="10" t="s">
        <v>142</v>
      </c>
      <c r="K124" s="10" t="s">
        <v>143</v>
      </c>
    </row>
    <row r="125" customFormat="false" ht="18.75" hidden="false" customHeight="true" outlineLevel="0" collapsed="false">
      <c r="A125" s="15" t="s">
        <v>401</v>
      </c>
      <c r="B125" s="15" t="s">
        <v>402</v>
      </c>
      <c r="C125" s="15" t="s">
        <v>140</v>
      </c>
      <c r="D125" s="15" t="s">
        <v>35</v>
      </c>
      <c r="E125" s="15" t="s">
        <v>284</v>
      </c>
      <c r="F125" s="16" t="n">
        <v>6</v>
      </c>
      <c r="G125" s="16" t="n">
        <v>24</v>
      </c>
      <c r="H125" s="29" t="n">
        <v>10199.28</v>
      </c>
      <c r="I125" s="29" t="n">
        <f aca="false">H125/G125</f>
        <v>424.97</v>
      </c>
      <c r="J125" s="15" t="s">
        <v>142</v>
      </c>
      <c r="K125" s="15" t="s">
        <v>143</v>
      </c>
    </row>
    <row r="126" customFormat="false" ht="18.75" hidden="false" customHeight="true" outlineLevel="0" collapsed="false">
      <c r="A126" s="10" t="s">
        <v>403</v>
      </c>
      <c r="B126" s="10" t="s">
        <v>404</v>
      </c>
      <c r="C126" s="10" t="s">
        <v>184</v>
      </c>
      <c r="D126" s="10" t="s">
        <v>34</v>
      </c>
      <c r="E126" s="10" t="s">
        <v>284</v>
      </c>
      <c r="F126" s="11" t="n">
        <v>1</v>
      </c>
      <c r="G126" s="11" t="n">
        <v>19</v>
      </c>
      <c r="H126" s="26" t="n">
        <v>10197.07</v>
      </c>
      <c r="I126" s="26" t="n">
        <f aca="false">H126/G126</f>
        <v>536.687894736842</v>
      </c>
      <c r="J126" s="10" t="s">
        <v>142</v>
      </c>
      <c r="K126" s="10" t="s">
        <v>143</v>
      </c>
    </row>
    <row r="127" customFormat="false" ht="18.75" hidden="false" customHeight="true" outlineLevel="0" collapsed="false">
      <c r="A127" s="15" t="s">
        <v>405</v>
      </c>
      <c r="B127" s="15" t="s">
        <v>406</v>
      </c>
      <c r="C127" s="15" t="s">
        <v>199</v>
      </c>
      <c r="D127" s="15" t="s">
        <v>36</v>
      </c>
      <c r="E127" s="15" t="s">
        <v>284</v>
      </c>
      <c r="F127" s="16" t="n">
        <v>11</v>
      </c>
      <c r="G127" s="16" t="n">
        <v>21</v>
      </c>
      <c r="H127" s="29" t="n">
        <v>10195.09</v>
      </c>
      <c r="I127" s="29" t="n">
        <f aca="false">H127/G127</f>
        <v>485.480476190476</v>
      </c>
      <c r="J127" s="15" t="s">
        <v>142</v>
      </c>
      <c r="K127" s="15" t="s">
        <v>143</v>
      </c>
    </row>
    <row r="128" customFormat="false" ht="18.75" hidden="false" customHeight="true" outlineLevel="0" collapsed="false">
      <c r="A128" s="10" t="s">
        <v>407</v>
      </c>
      <c r="B128" s="10" t="s">
        <v>322</v>
      </c>
      <c r="C128" s="10" t="s">
        <v>146</v>
      </c>
      <c r="D128" s="10" t="s">
        <v>34</v>
      </c>
      <c r="E128" s="10" t="s">
        <v>141</v>
      </c>
      <c r="F128" s="11" t="n">
        <v>63</v>
      </c>
      <c r="G128" s="11" t="n">
        <v>3</v>
      </c>
      <c r="H128" s="26" t="n">
        <v>10030.76</v>
      </c>
      <c r="I128" s="26" t="n">
        <f aca="false">H128/G128</f>
        <v>3343.58666666667</v>
      </c>
      <c r="J128" s="10" t="s">
        <v>253</v>
      </c>
      <c r="K128" s="10" t="s">
        <v>254</v>
      </c>
    </row>
    <row r="129" customFormat="false" ht="18.75" hidden="false" customHeight="true" outlineLevel="0" collapsed="false">
      <c r="A129" s="15" t="s">
        <v>408</v>
      </c>
      <c r="B129" s="15" t="s">
        <v>409</v>
      </c>
      <c r="C129" s="15" t="s">
        <v>140</v>
      </c>
      <c r="D129" s="15" t="s">
        <v>35</v>
      </c>
      <c r="E129" s="15" t="s">
        <v>141</v>
      </c>
      <c r="F129" s="16" t="n">
        <v>67</v>
      </c>
      <c r="G129" s="16" t="n">
        <v>4</v>
      </c>
      <c r="H129" s="29" t="n">
        <v>9993.5</v>
      </c>
      <c r="I129" s="29" t="n">
        <f aca="false">H129/G129</f>
        <v>2498.375</v>
      </c>
      <c r="J129" s="15" t="s">
        <v>253</v>
      </c>
      <c r="K129" s="15" t="s">
        <v>254</v>
      </c>
    </row>
    <row r="130" customFormat="false" ht="18.75" hidden="false" customHeight="true" outlineLevel="0" collapsed="false">
      <c r="A130" s="10" t="s">
        <v>410</v>
      </c>
      <c r="B130" s="10" t="s">
        <v>411</v>
      </c>
      <c r="C130" s="10" t="s">
        <v>163</v>
      </c>
      <c r="D130" s="10" t="s">
        <v>36</v>
      </c>
      <c r="E130" s="10" t="s">
        <v>284</v>
      </c>
      <c r="F130" s="11" t="n">
        <v>6</v>
      </c>
      <c r="G130" s="11" t="n">
        <v>16</v>
      </c>
      <c r="H130" s="26" t="n">
        <v>9974.28</v>
      </c>
      <c r="I130" s="26" t="n">
        <f aca="false">H130/G130</f>
        <v>623.3925</v>
      </c>
      <c r="J130" s="10" t="s">
        <v>142</v>
      </c>
      <c r="K130" s="10" t="s">
        <v>143</v>
      </c>
    </row>
    <row r="131" customFormat="false" ht="18.75" hidden="false" customHeight="true" outlineLevel="0" collapsed="false">
      <c r="A131" s="15" t="s">
        <v>412</v>
      </c>
      <c r="B131" s="15" t="s">
        <v>413</v>
      </c>
      <c r="C131" s="15" t="s">
        <v>207</v>
      </c>
      <c r="D131" s="15" t="s">
        <v>35</v>
      </c>
      <c r="E131" s="15" t="s">
        <v>284</v>
      </c>
      <c r="F131" s="16" t="n">
        <v>1</v>
      </c>
      <c r="G131" s="16" t="n">
        <v>24</v>
      </c>
      <c r="H131" s="29" t="n">
        <v>9889.55</v>
      </c>
      <c r="I131" s="29" t="n">
        <f aca="false">H131/G131</f>
        <v>412.064583333333</v>
      </c>
      <c r="J131" s="15" t="s">
        <v>142</v>
      </c>
      <c r="K131" s="15" t="s">
        <v>143</v>
      </c>
    </row>
    <row r="132" customFormat="false" ht="18.75" hidden="false" customHeight="true" outlineLevel="0" collapsed="false">
      <c r="A132" s="10" t="s">
        <v>414</v>
      </c>
      <c r="B132" s="10" t="s">
        <v>168</v>
      </c>
      <c r="C132" s="10" t="s">
        <v>140</v>
      </c>
      <c r="D132" s="10" t="s">
        <v>35</v>
      </c>
      <c r="E132" s="10" t="s">
        <v>141</v>
      </c>
      <c r="F132" s="11" t="n">
        <v>34</v>
      </c>
      <c r="G132" s="11" t="n">
        <v>4</v>
      </c>
      <c r="H132" s="26" t="n">
        <v>9881.72</v>
      </c>
      <c r="I132" s="26" t="n">
        <f aca="false">H132/G132</f>
        <v>2470.43</v>
      </c>
      <c r="J132" s="10" t="s">
        <v>280</v>
      </c>
      <c r="K132" s="10" t="s">
        <v>281</v>
      </c>
    </row>
    <row r="133" customFormat="false" ht="18.75" hidden="false" customHeight="true" outlineLevel="0" collapsed="false">
      <c r="A133" s="15" t="s">
        <v>415</v>
      </c>
      <c r="B133" s="15" t="s">
        <v>416</v>
      </c>
      <c r="C133" s="15" t="s">
        <v>226</v>
      </c>
      <c r="D133" s="15" t="s">
        <v>36</v>
      </c>
      <c r="E133" s="15" t="s">
        <v>284</v>
      </c>
      <c r="F133" s="16" t="n">
        <v>11</v>
      </c>
      <c r="G133" s="16" t="n">
        <v>19</v>
      </c>
      <c r="H133" s="29" t="n">
        <v>9846.36</v>
      </c>
      <c r="I133" s="29" t="n">
        <f aca="false">H133/G133</f>
        <v>518.229473684211</v>
      </c>
      <c r="J133" s="15" t="s">
        <v>142</v>
      </c>
      <c r="K133" s="15" t="s">
        <v>143</v>
      </c>
    </row>
    <row r="134" customFormat="false" ht="18.75" hidden="false" customHeight="true" outlineLevel="0" collapsed="false">
      <c r="A134" s="10" t="s">
        <v>417</v>
      </c>
      <c r="B134" s="10" t="s">
        <v>418</v>
      </c>
      <c r="C134" s="10" t="s">
        <v>181</v>
      </c>
      <c r="D134" s="10" t="s">
        <v>36</v>
      </c>
      <c r="E134" s="10" t="s">
        <v>141</v>
      </c>
      <c r="F134" s="11" t="n">
        <v>64</v>
      </c>
      <c r="G134" s="11" t="n">
        <v>3</v>
      </c>
      <c r="H134" s="26" t="n">
        <v>9832.96</v>
      </c>
      <c r="I134" s="26" t="n">
        <f aca="false">H134/G134</f>
        <v>3277.65333333333</v>
      </c>
      <c r="J134" s="10" t="s">
        <v>253</v>
      </c>
      <c r="K134" s="10" t="s">
        <v>254</v>
      </c>
    </row>
    <row r="135" customFormat="false" ht="18.75" hidden="false" customHeight="true" outlineLevel="0" collapsed="false">
      <c r="A135" s="15" t="s">
        <v>419</v>
      </c>
      <c r="B135" s="15" t="s">
        <v>420</v>
      </c>
      <c r="C135" s="15" t="s">
        <v>163</v>
      </c>
      <c r="D135" s="15" t="s">
        <v>36</v>
      </c>
      <c r="E135" s="15" t="s">
        <v>284</v>
      </c>
      <c r="F135" s="16" t="n">
        <v>10</v>
      </c>
      <c r="G135" s="16" t="n">
        <v>23</v>
      </c>
      <c r="H135" s="29" t="n">
        <v>9756.16</v>
      </c>
      <c r="I135" s="29" t="n">
        <f aca="false">H135/G135</f>
        <v>424.180869565217</v>
      </c>
      <c r="J135" s="15" t="s">
        <v>142</v>
      </c>
      <c r="K135" s="15" t="s">
        <v>143</v>
      </c>
    </row>
    <row r="136" customFormat="false" ht="18.75" hidden="false" customHeight="true" outlineLevel="0" collapsed="false">
      <c r="A136" s="10" t="s">
        <v>421</v>
      </c>
      <c r="B136" s="10" t="s">
        <v>422</v>
      </c>
      <c r="C136" s="10" t="s">
        <v>219</v>
      </c>
      <c r="D136" s="10" t="s">
        <v>35</v>
      </c>
      <c r="E136" s="10" t="s">
        <v>284</v>
      </c>
      <c r="F136" s="11" t="n">
        <v>19</v>
      </c>
      <c r="G136" s="11" t="n">
        <v>24</v>
      </c>
      <c r="H136" s="26" t="n">
        <v>9716.5</v>
      </c>
      <c r="I136" s="26" t="n">
        <f aca="false">H136/G136</f>
        <v>404.854166666667</v>
      </c>
      <c r="J136" s="10" t="s">
        <v>142</v>
      </c>
      <c r="K136" s="10" t="s">
        <v>143</v>
      </c>
    </row>
    <row r="137" customFormat="false" ht="18.75" hidden="false" customHeight="true" outlineLevel="0" collapsed="false">
      <c r="A137" s="15" t="s">
        <v>423</v>
      </c>
      <c r="B137" s="15" t="s">
        <v>424</v>
      </c>
      <c r="C137" s="15" t="s">
        <v>199</v>
      </c>
      <c r="D137" s="15" t="s">
        <v>36</v>
      </c>
      <c r="E137" s="15" t="s">
        <v>284</v>
      </c>
      <c r="F137" s="16" t="n">
        <v>11</v>
      </c>
      <c r="G137" s="16" t="n">
        <v>18</v>
      </c>
      <c r="H137" s="29" t="n">
        <v>9671.31</v>
      </c>
      <c r="I137" s="29" t="n">
        <f aca="false">H137/G137</f>
        <v>537.295</v>
      </c>
      <c r="J137" s="15" t="s">
        <v>142</v>
      </c>
      <c r="K137" s="15" t="s">
        <v>143</v>
      </c>
    </row>
    <row r="138" customFormat="false" ht="18.75" hidden="false" customHeight="true" outlineLevel="0" collapsed="false">
      <c r="A138" s="10" t="s">
        <v>425</v>
      </c>
      <c r="B138" s="10" t="s">
        <v>426</v>
      </c>
      <c r="C138" s="10" t="s">
        <v>199</v>
      </c>
      <c r="D138" s="10" t="s">
        <v>36</v>
      </c>
      <c r="E138" s="10" t="s">
        <v>284</v>
      </c>
      <c r="F138" s="11" t="n">
        <v>0</v>
      </c>
      <c r="G138" s="11" t="n">
        <v>19</v>
      </c>
      <c r="H138" s="26" t="n">
        <v>9651.98</v>
      </c>
      <c r="I138" s="26" t="n">
        <f aca="false">H138/G138</f>
        <v>507.998947368421</v>
      </c>
      <c r="J138" s="10" t="s">
        <v>142</v>
      </c>
      <c r="K138" s="10" t="s">
        <v>143</v>
      </c>
    </row>
    <row r="139" customFormat="false" ht="18.75" hidden="false" customHeight="true" outlineLevel="0" collapsed="false">
      <c r="A139" s="15" t="s">
        <v>427</v>
      </c>
      <c r="B139" s="15" t="s">
        <v>198</v>
      </c>
      <c r="C139" s="15" t="s">
        <v>184</v>
      </c>
      <c r="D139" s="15" t="s">
        <v>34</v>
      </c>
      <c r="E139" s="15" t="s">
        <v>284</v>
      </c>
      <c r="F139" s="16" t="n">
        <v>19</v>
      </c>
      <c r="G139" s="16" t="n">
        <v>17</v>
      </c>
      <c r="H139" s="29" t="n">
        <v>9644.57</v>
      </c>
      <c r="I139" s="29" t="n">
        <f aca="false">H139/G139</f>
        <v>567.327647058824</v>
      </c>
      <c r="J139" s="15" t="s">
        <v>142</v>
      </c>
      <c r="K139" s="15" t="s">
        <v>143</v>
      </c>
    </row>
    <row r="140" customFormat="false" ht="18.75" hidden="false" customHeight="true" outlineLevel="0" collapsed="false">
      <c r="A140" s="10" t="s">
        <v>428</v>
      </c>
      <c r="B140" s="10" t="s">
        <v>429</v>
      </c>
      <c r="C140" s="10" t="s">
        <v>146</v>
      </c>
      <c r="D140" s="10" t="s">
        <v>34</v>
      </c>
      <c r="E140" s="10" t="s">
        <v>284</v>
      </c>
      <c r="F140" s="11" t="n">
        <v>10</v>
      </c>
      <c r="G140" s="11" t="n">
        <v>22</v>
      </c>
      <c r="H140" s="26" t="n">
        <v>9542.21</v>
      </c>
      <c r="I140" s="26" t="n">
        <f aca="false">H140/G140</f>
        <v>433.736818181818</v>
      </c>
      <c r="J140" s="10" t="s">
        <v>142</v>
      </c>
      <c r="K140" s="10" t="s">
        <v>143</v>
      </c>
    </row>
    <row r="141" customFormat="false" ht="18.75" hidden="false" customHeight="true" outlineLevel="0" collapsed="false">
      <c r="A141" s="15" t="s">
        <v>430</v>
      </c>
      <c r="B141" s="15" t="s">
        <v>431</v>
      </c>
      <c r="C141" s="15" t="s">
        <v>155</v>
      </c>
      <c r="D141" s="15" t="s">
        <v>34</v>
      </c>
      <c r="E141" s="15" t="s">
        <v>284</v>
      </c>
      <c r="F141" s="16" t="n">
        <v>18</v>
      </c>
      <c r="G141" s="16" t="n">
        <v>23</v>
      </c>
      <c r="H141" s="29" t="n">
        <v>9474.87</v>
      </c>
      <c r="I141" s="29" t="n">
        <f aca="false">H141/G141</f>
        <v>411.950869565217</v>
      </c>
      <c r="J141" s="15" t="s">
        <v>142</v>
      </c>
      <c r="K141" s="15" t="s">
        <v>143</v>
      </c>
    </row>
    <row r="142" customFormat="false" ht="18.75" hidden="false" customHeight="true" outlineLevel="0" collapsed="false">
      <c r="A142" s="10" t="s">
        <v>432</v>
      </c>
      <c r="B142" s="10" t="s">
        <v>433</v>
      </c>
      <c r="C142" s="10" t="s">
        <v>226</v>
      </c>
      <c r="D142" s="10" t="s">
        <v>36</v>
      </c>
      <c r="E142" s="10" t="s">
        <v>284</v>
      </c>
      <c r="F142" s="11" t="n">
        <v>2</v>
      </c>
      <c r="G142" s="11" t="n">
        <v>22</v>
      </c>
      <c r="H142" s="26" t="n">
        <v>9365.1</v>
      </c>
      <c r="I142" s="26" t="n">
        <f aca="false">H142/G142</f>
        <v>425.686363636364</v>
      </c>
      <c r="J142" s="10" t="s">
        <v>142</v>
      </c>
      <c r="K142" s="10" t="s">
        <v>143</v>
      </c>
    </row>
    <row r="143" customFormat="false" ht="18.75" hidden="false" customHeight="true" outlineLevel="0" collapsed="false">
      <c r="A143" s="15" t="s">
        <v>434</v>
      </c>
      <c r="B143" s="15" t="s">
        <v>435</v>
      </c>
      <c r="C143" s="15" t="s">
        <v>155</v>
      </c>
      <c r="D143" s="15" t="s">
        <v>34</v>
      </c>
      <c r="E143" s="15" t="s">
        <v>284</v>
      </c>
      <c r="F143" s="16" t="n">
        <v>5</v>
      </c>
      <c r="G143" s="16" t="n">
        <v>21</v>
      </c>
      <c r="H143" s="29" t="n">
        <v>9317.54</v>
      </c>
      <c r="I143" s="29" t="n">
        <f aca="false">H143/G143</f>
        <v>443.692380952381</v>
      </c>
      <c r="J143" s="15" t="s">
        <v>142</v>
      </c>
      <c r="K143" s="15" t="s">
        <v>143</v>
      </c>
    </row>
    <row r="144" customFormat="false" ht="18.75" hidden="false" customHeight="true" outlineLevel="0" collapsed="false">
      <c r="A144" s="10" t="s">
        <v>436</v>
      </c>
      <c r="B144" s="10" t="s">
        <v>437</v>
      </c>
      <c r="C144" s="10" t="s">
        <v>207</v>
      </c>
      <c r="D144" s="10" t="s">
        <v>35</v>
      </c>
      <c r="E144" s="10" t="s">
        <v>284</v>
      </c>
      <c r="F144" s="11" t="n">
        <v>0</v>
      </c>
      <c r="G144" s="11" t="n">
        <v>21</v>
      </c>
      <c r="H144" s="26" t="n">
        <v>9299.82</v>
      </c>
      <c r="I144" s="26" t="n">
        <f aca="false">H144/G144</f>
        <v>442.848571428571</v>
      </c>
      <c r="J144" s="10" t="s">
        <v>142</v>
      </c>
      <c r="K144" s="10" t="s">
        <v>143</v>
      </c>
    </row>
    <row r="145" customFormat="false" ht="18.75" hidden="false" customHeight="true" outlineLevel="0" collapsed="false">
      <c r="A145" s="15" t="s">
        <v>438</v>
      </c>
      <c r="B145" s="15" t="s">
        <v>439</v>
      </c>
      <c r="C145" s="15" t="s">
        <v>152</v>
      </c>
      <c r="D145" s="15" t="s">
        <v>35</v>
      </c>
      <c r="E145" s="15" t="s">
        <v>384</v>
      </c>
      <c r="F145" s="16" t="n">
        <v>17</v>
      </c>
      <c r="G145" s="16" t="n">
        <v>20</v>
      </c>
      <c r="H145" s="29" t="n">
        <v>9234.46</v>
      </c>
      <c r="I145" s="29" t="n">
        <f aca="false">H145/G145</f>
        <v>461.723</v>
      </c>
      <c r="J145" s="15" t="s">
        <v>142</v>
      </c>
      <c r="K145" s="15" t="s">
        <v>143</v>
      </c>
    </row>
    <row r="146" customFormat="false" ht="18.75" hidden="false" customHeight="true" outlineLevel="0" collapsed="false">
      <c r="A146" s="10" t="s">
        <v>440</v>
      </c>
      <c r="B146" s="10" t="s">
        <v>441</v>
      </c>
      <c r="C146" s="10" t="s">
        <v>149</v>
      </c>
      <c r="D146" s="10" t="s">
        <v>35</v>
      </c>
      <c r="E146" s="10" t="s">
        <v>284</v>
      </c>
      <c r="F146" s="11" t="n">
        <v>18</v>
      </c>
      <c r="G146" s="11" t="n">
        <v>25</v>
      </c>
      <c r="H146" s="26" t="n">
        <v>9219.04</v>
      </c>
      <c r="I146" s="26" t="n">
        <f aca="false">H146/G146</f>
        <v>368.7616</v>
      </c>
      <c r="J146" s="10" t="s">
        <v>142</v>
      </c>
      <c r="K146" s="10" t="s">
        <v>143</v>
      </c>
    </row>
    <row r="147" customFormat="false" ht="18.75" hidden="false" customHeight="true" outlineLevel="0" collapsed="false">
      <c r="A147" s="15" t="s">
        <v>442</v>
      </c>
      <c r="B147" s="15" t="s">
        <v>294</v>
      </c>
      <c r="C147" s="15" t="s">
        <v>181</v>
      </c>
      <c r="D147" s="15" t="s">
        <v>36</v>
      </c>
      <c r="E147" s="15" t="s">
        <v>284</v>
      </c>
      <c r="F147" s="16" t="n">
        <v>11</v>
      </c>
      <c r="G147" s="16" t="n">
        <v>22</v>
      </c>
      <c r="H147" s="29" t="n">
        <v>9169.11</v>
      </c>
      <c r="I147" s="29" t="n">
        <f aca="false">H147/G147</f>
        <v>416.777727272727</v>
      </c>
      <c r="J147" s="15" t="s">
        <v>142</v>
      </c>
      <c r="K147" s="15" t="s">
        <v>143</v>
      </c>
    </row>
    <row r="148" customFormat="false" ht="18.75" hidden="false" customHeight="true" outlineLevel="0" collapsed="false">
      <c r="A148" s="10" t="s">
        <v>443</v>
      </c>
      <c r="B148" s="10" t="s">
        <v>444</v>
      </c>
      <c r="C148" s="10" t="s">
        <v>149</v>
      </c>
      <c r="D148" s="10" t="s">
        <v>35</v>
      </c>
      <c r="E148" s="10" t="s">
        <v>284</v>
      </c>
      <c r="F148" s="11" t="n">
        <v>7</v>
      </c>
      <c r="G148" s="11" t="n">
        <v>18</v>
      </c>
      <c r="H148" s="26" t="n">
        <v>9126.64</v>
      </c>
      <c r="I148" s="26" t="n">
        <f aca="false">H148/G148</f>
        <v>507.035555555556</v>
      </c>
      <c r="J148" s="10" t="s">
        <v>142</v>
      </c>
      <c r="K148" s="10" t="s">
        <v>143</v>
      </c>
    </row>
    <row r="149" customFormat="false" ht="18.75" hidden="false" customHeight="true" outlineLevel="0" collapsed="false">
      <c r="A149" s="15" t="s">
        <v>445</v>
      </c>
      <c r="B149" s="15" t="s">
        <v>446</v>
      </c>
      <c r="C149" s="15" t="s">
        <v>181</v>
      </c>
      <c r="D149" s="15" t="s">
        <v>36</v>
      </c>
      <c r="E149" s="15" t="s">
        <v>284</v>
      </c>
      <c r="F149" s="16" t="n">
        <v>1</v>
      </c>
      <c r="G149" s="16" t="n">
        <v>22</v>
      </c>
      <c r="H149" s="29" t="n">
        <v>9103.76</v>
      </c>
      <c r="I149" s="29" t="n">
        <f aca="false">H149/G149</f>
        <v>413.807272727273</v>
      </c>
      <c r="J149" s="15" t="s">
        <v>142</v>
      </c>
      <c r="K149" s="15" t="s">
        <v>143</v>
      </c>
    </row>
    <row r="150" customFormat="false" ht="18.75" hidden="false" customHeight="true" outlineLevel="0" collapsed="false">
      <c r="A150" s="10" t="s">
        <v>447</v>
      </c>
      <c r="B150" s="10" t="s">
        <v>448</v>
      </c>
      <c r="C150" s="10" t="s">
        <v>216</v>
      </c>
      <c r="D150" s="10" t="s">
        <v>34</v>
      </c>
      <c r="E150" s="10" t="s">
        <v>284</v>
      </c>
      <c r="F150" s="11" t="n">
        <v>6</v>
      </c>
      <c r="G150" s="11" t="n">
        <v>16</v>
      </c>
      <c r="H150" s="26" t="n">
        <v>9037.93</v>
      </c>
      <c r="I150" s="26" t="n">
        <f aca="false">H150/G150</f>
        <v>564.870625</v>
      </c>
      <c r="J150" s="10" t="s">
        <v>142</v>
      </c>
      <c r="K150" s="10" t="s">
        <v>143</v>
      </c>
    </row>
    <row r="151" customFormat="false" ht="18.75" hidden="false" customHeight="true" outlineLevel="0" collapsed="false">
      <c r="A151" s="15" t="s">
        <v>449</v>
      </c>
      <c r="B151" s="15" t="s">
        <v>396</v>
      </c>
      <c r="C151" s="15" t="s">
        <v>152</v>
      </c>
      <c r="D151" s="15" t="s">
        <v>35</v>
      </c>
      <c r="E151" s="15" t="s">
        <v>141</v>
      </c>
      <c r="F151" s="16" t="n">
        <v>189</v>
      </c>
      <c r="G151" s="16" t="n">
        <v>3</v>
      </c>
      <c r="H151" s="29" t="n">
        <v>9032.1</v>
      </c>
      <c r="I151" s="29" t="n">
        <f aca="false">H151/G151</f>
        <v>3010.7</v>
      </c>
      <c r="J151" s="15" t="s">
        <v>253</v>
      </c>
      <c r="K151" s="15" t="s">
        <v>254</v>
      </c>
    </row>
    <row r="152" customFormat="false" ht="18.75" hidden="false" customHeight="true" outlineLevel="0" collapsed="false">
      <c r="A152" s="10" t="s">
        <v>450</v>
      </c>
      <c r="B152" s="10" t="s">
        <v>451</v>
      </c>
      <c r="C152" s="10" t="s">
        <v>207</v>
      </c>
      <c r="D152" s="10" t="s">
        <v>35</v>
      </c>
      <c r="E152" s="10" t="s">
        <v>284</v>
      </c>
      <c r="F152" s="11" t="n">
        <v>22</v>
      </c>
      <c r="G152" s="11" t="n">
        <v>22</v>
      </c>
      <c r="H152" s="26" t="n">
        <v>8979.2</v>
      </c>
      <c r="I152" s="26" t="n">
        <f aca="false">H152/G152</f>
        <v>408.145454545455</v>
      </c>
      <c r="J152" s="10" t="s">
        <v>142</v>
      </c>
      <c r="K152" s="10" t="s">
        <v>143</v>
      </c>
    </row>
    <row r="153" customFormat="false" ht="18.75" hidden="false" customHeight="true" outlineLevel="0" collapsed="false">
      <c r="A153" s="15" t="s">
        <v>452</v>
      </c>
      <c r="B153" s="15" t="s">
        <v>453</v>
      </c>
      <c r="C153" s="15" t="s">
        <v>140</v>
      </c>
      <c r="D153" s="15" t="s">
        <v>35</v>
      </c>
      <c r="E153" s="15" t="s">
        <v>384</v>
      </c>
      <c r="F153" s="16" t="n">
        <v>6</v>
      </c>
      <c r="G153" s="16" t="n">
        <v>23</v>
      </c>
      <c r="H153" s="29" t="n">
        <v>8973.93</v>
      </c>
      <c r="I153" s="29" t="n">
        <f aca="false">H153/G153</f>
        <v>390.170869565217</v>
      </c>
      <c r="J153" s="15" t="s">
        <v>142</v>
      </c>
      <c r="K153" s="15" t="s">
        <v>143</v>
      </c>
    </row>
    <row r="154" customFormat="false" ht="18.75" hidden="false" customHeight="true" outlineLevel="0" collapsed="false">
      <c r="A154" s="10" t="s">
        <v>454</v>
      </c>
      <c r="B154" s="10" t="s">
        <v>455</v>
      </c>
      <c r="C154" s="10" t="s">
        <v>152</v>
      </c>
      <c r="D154" s="10" t="s">
        <v>35</v>
      </c>
      <c r="E154" s="10" t="s">
        <v>284</v>
      </c>
      <c r="F154" s="11" t="n">
        <v>4</v>
      </c>
      <c r="G154" s="11" t="n">
        <v>27</v>
      </c>
      <c r="H154" s="26" t="n">
        <v>8967.41</v>
      </c>
      <c r="I154" s="26" t="n">
        <f aca="false">H154/G154</f>
        <v>332.126296296296</v>
      </c>
      <c r="J154" s="10" t="s">
        <v>142</v>
      </c>
      <c r="K154" s="10" t="s">
        <v>143</v>
      </c>
    </row>
    <row r="155" customFormat="false" ht="18.75" hidden="false" customHeight="true" outlineLevel="0" collapsed="false">
      <c r="A155" s="15" t="s">
        <v>456</v>
      </c>
      <c r="B155" s="15" t="s">
        <v>457</v>
      </c>
      <c r="C155" s="15" t="s">
        <v>181</v>
      </c>
      <c r="D155" s="15" t="s">
        <v>36</v>
      </c>
      <c r="E155" s="15" t="s">
        <v>141</v>
      </c>
      <c r="F155" s="16" t="n">
        <v>12</v>
      </c>
      <c r="G155" s="16" t="n">
        <v>1</v>
      </c>
      <c r="H155" s="29" t="n">
        <v>8928.6</v>
      </c>
      <c r="I155" s="29" t="n">
        <f aca="false">H155/G155</f>
        <v>8928.6</v>
      </c>
      <c r="J155" s="15" t="s">
        <v>280</v>
      </c>
      <c r="K155" s="15" t="s">
        <v>281</v>
      </c>
    </row>
    <row r="156" customFormat="false" ht="18.75" hidden="false" customHeight="true" outlineLevel="0" collapsed="false">
      <c r="A156" s="10" t="s">
        <v>458</v>
      </c>
      <c r="B156" s="10" t="s">
        <v>441</v>
      </c>
      <c r="C156" s="10" t="s">
        <v>226</v>
      </c>
      <c r="D156" s="10" t="s">
        <v>36</v>
      </c>
      <c r="E156" s="10" t="s">
        <v>141</v>
      </c>
      <c r="F156" s="11" t="n">
        <v>64</v>
      </c>
      <c r="G156" s="11" t="n">
        <v>1</v>
      </c>
      <c r="H156" s="26" t="n">
        <v>8831.08</v>
      </c>
      <c r="I156" s="26" t="n">
        <f aca="false">H156/G156</f>
        <v>8831.08</v>
      </c>
      <c r="J156" s="10" t="s">
        <v>253</v>
      </c>
      <c r="K156" s="10" t="s">
        <v>254</v>
      </c>
    </row>
    <row r="157" customFormat="false" ht="18.75" hidden="false" customHeight="true" outlineLevel="0" collapsed="false">
      <c r="A157" s="15" t="s">
        <v>459</v>
      </c>
      <c r="B157" s="15" t="s">
        <v>460</v>
      </c>
      <c r="C157" s="15" t="s">
        <v>152</v>
      </c>
      <c r="D157" s="15" t="s">
        <v>35</v>
      </c>
      <c r="E157" s="15" t="s">
        <v>284</v>
      </c>
      <c r="F157" s="16" t="n">
        <v>1</v>
      </c>
      <c r="G157" s="16" t="n">
        <v>23</v>
      </c>
      <c r="H157" s="29" t="n">
        <v>8805.67</v>
      </c>
      <c r="I157" s="29" t="n">
        <f aca="false">H157/G157</f>
        <v>382.855217391304</v>
      </c>
      <c r="J157" s="15" t="s">
        <v>142</v>
      </c>
      <c r="K157" s="15" t="s">
        <v>143</v>
      </c>
    </row>
    <row r="158" customFormat="false" ht="18.75" hidden="false" customHeight="true" outlineLevel="0" collapsed="false">
      <c r="A158" s="10" t="s">
        <v>461</v>
      </c>
      <c r="B158" s="10" t="s">
        <v>462</v>
      </c>
      <c r="C158" s="10" t="s">
        <v>140</v>
      </c>
      <c r="D158" s="10" t="s">
        <v>35</v>
      </c>
      <c r="E158" s="10" t="s">
        <v>284</v>
      </c>
      <c r="F158" s="11" t="n">
        <v>3</v>
      </c>
      <c r="G158" s="11" t="n">
        <v>21</v>
      </c>
      <c r="H158" s="26" t="n">
        <v>8791.38</v>
      </c>
      <c r="I158" s="26" t="n">
        <f aca="false">H158/G158</f>
        <v>418.637142857143</v>
      </c>
      <c r="J158" s="10" t="s">
        <v>142</v>
      </c>
      <c r="K158" s="10" t="s">
        <v>143</v>
      </c>
    </row>
    <row r="159" customFormat="false" ht="18.75" hidden="false" customHeight="true" outlineLevel="0" collapsed="false">
      <c r="A159" s="15" t="s">
        <v>463</v>
      </c>
      <c r="B159" s="15" t="s">
        <v>464</v>
      </c>
      <c r="C159" s="15" t="s">
        <v>163</v>
      </c>
      <c r="D159" s="15" t="s">
        <v>36</v>
      </c>
      <c r="E159" s="15" t="s">
        <v>284</v>
      </c>
      <c r="F159" s="16" t="n">
        <v>11</v>
      </c>
      <c r="G159" s="16" t="n">
        <v>22</v>
      </c>
      <c r="H159" s="29" t="n">
        <v>8769.91</v>
      </c>
      <c r="I159" s="29" t="n">
        <f aca="false">H159/G159</f>
        <v>398.632272727273</v>
      </c>
      <c r="J159" s="15" t="s">
        <v>142</v>
      </c>
      <c r="K159" s="15" t="s">
        <v>143</v>
      </c>
    </row>
    <row r="160" customFormat="false" ht="18.75" hidden="false" customHeight="true" outlineLevel="0" collapsed="false">
      <c r="A160" s="10" t="s">
        <v>465</v>
      </c>
      <c r="B160" s="10" t="s">
        <v>466</v>
      </c>
      <c r="C160" s="10" t="s">
        <v>166</v>
      </c>
      <c r="D160" s="10" t="s">
        <v>35</v>
      </c>
      <c r="E160" s="10" t="s">
        <v>284</v>
      </c>
      <c r="F160" s="11" t="n">
        <v>7</v>
      </c>
      <c r="G160" s="11" t="n">
        <v>19</v>
      </c>
      <c r="H160" s="26" t="n">
        <v>8746.17</v>
      </c>
      <c r="I160" s="26" t="n">
        <f aca="false">H160/G160</f>
        <v>460.324736842105</v>
      </c>
      <c r="J160" s="10" t="s">
        <v>142</v>
      </c>
      <c r="K160" s="10" t="s">
        <v>143</v>
      </c>
    </row>
    <row r="161" customFormat="false" ht="18.75" hidden="false" customHeight="true" outlineLevel="0" collapsed="false">
      <c r="A161" s="15" t="s">
        <v>467</v>
      </c>
      <c r="B161" s="15" t="s">
        <v>468</v>
      </c>
      <c r="C161" s="15" t="s">
        <v>181</v>
      </c>
      <c r="D161" s="15" t="s">
        <v>36</v>
      </c>
      <c r="E161" s="15" t="s">
        <v>284</v>
      </c>
      <c r="F161" s="16" t="n">
        <v>22</v>
      </c>
      <c r="G161" s="16" t="n">
        <v>19</v>
      </c>
      <c r="H161" s="29" t="n">
        <v>8663.88</v>
      </c>
      <c r="I161" s="29" t="n">
        <f aca="false">H161/G161</f>
        <v>455.993684210526</v>
      </c>
      <c r="J161" s="15" t="s">
        <v>142</v>
      </c>
      <c r="K161" s="15" t="s">
        <v>143</v>
      </c>
    </row>
    <row r="162" customFormat="false" ht="18.75" hidden="false" customHeight="true" outlineLevel="0" collapsed="false">
      <c r="A162" s="10" t="s">
        <v>469</v>
      </c>
      <c r="B162" s="10" t="s">
        <v>470</v>
      </c>
      <c r="C162" s="10" t="s">
        <v>216</v>
      </c>
      <c r="D162" s="10" t="s">
        <v>34</v>
      </c>
      <c r="E162" s="10" t="s">
        <v>284</v>
      </c>
      <c r="F162" s="11" t="n">
        <v>28</v>
      </c>
      <c r="G162" s="11" t="n">
        <v>12</v>
      </c>
      <c r="H162" s="26" t="n">
        <v>8660.91</v>
      </c>
      <c r="I162" s="26" t="n">
        <f aca="false">H162/G162</f>
        <v>721.7425</v>
      </c>
      <c r="J162" s="10" t="s">
        <v>171</v>
      </c>
      <c r="K162" s="10" t="s">
        <v>172</v>
      </c>
    </row>
    <row r="163" customFormat="false" ht="18.75" hidden="false" customHeight="true" outlineLevel="0" collapsed="false">
      <c r="A163" s="15" t="s">
        <v>471</v>
      </c>
      <c r="B163" s="15" t="s">
        <v>472</v>
      </c>
      <c r="C163" s="15" t="s">
        <v>149</v>
      </c>
      <c r="D163" s="15" t="s">
        <v>35</v>
      </c>
      <c r="E163" s="15" t="s">
        <v>284</v>
      </c>
      <c r="F163" s="16" t="n">
        <v>1</v>
      </c>
      <c r="G163" s="16" t="n">
        <v>15</v>
      </c>
      <c r="H163" s="29" t="n">
        <v>8658.02</v>
      </c>
      <c r="I163" s="29" t="n">
        <f aca="false">H163/G163</f>
        <v>577.201333333333</v>
      </c>
      <c r="J163" s="15" t="s">
        <v>142</v>
      </c>
      <c r="K163" s="15" t="s">
        <v>143</v>
      </c>
    </row>
    <row r="164" customFormat="false" ht="18.75" hidden="false" customHeight="true" outlineLevel="0" collapsed="false">
      <c r="A164" s="10" t="s">
        <v>473</v>
      </c>
      <c r="B164" s="10" t="s">
        <v>474</v>
      </c>
      <c r="C164" s="10" t="s">
        <v>149</v>
      </c>
      <c r="D164" s="10" t="s">
        <v>35</v>
      </c>
      <c r="E164" s="10" t="s">
        <v>284</v>
      </c>
      <c r="F164" s="11" t="n">
        <v>13</v>
      </c>
      <c r="G164" s="11" t="n">
        <v>17</v>
      </c>
      <c r="H164" s="26" t="n">
        <v>8654.7</v>
      </c>
      <c r="I164" s="26" t="n">
        <f aca="false">H164/G164</f>
        <v>509.1</v>
      </c>
      <c r="J164" s="10" t="s">
        <v>142</v>
      </c>
      <c r="K164" s="10" t="s">
        <v>143</v>
      </c>
    </row>
    <row r="165" customFormat="false" ht="18.75" hidden="false" customHeight="true" outlineLevel="0" collapsed="false">
      <c r="A165" s="15" t="s">
        <v>475</v>
      </c>
      <c r="B165" s="15" t="s">
        <v>476</v>
      </c>
      <c r="C165" s="15" t="s">
        <v>199</v>
      </c>
      <c r="D165" s="15" t="s">
        <v>36</v>
      </c>
      <c r="E165" s="15" t="s">
        <v>284</v>
      </c>
      <c r="F165" s="16" t="n">
        <v>11</v>
      </c>
      <c r="G165" s="16" t="n">
        <v>22</v>
      </c>
      <c r="H165" s="29" t="n">
        <v>8608.09</v>
      </c>
      <c r="I165" s="29" t="n">
        <f aca="false">H165/G165</f>
        <v>391.276818181818</v>
      </c>
      <c r="J165" s="15" t="s">
        <v>142</v>
      </c>
      <c r="K165" s="15" t="s">
        <v>143</v>
      </c>
    </row>
    <row r="166" customFormat="false" ht="18.75" hidden="false" customHeight="true" outlineLevel="0" collapsed="false">
      <c r="A166" s="10" t="s">
        <v>477</v>
      </c>
      <c r="B166" s="10" t="s">
        <v>478</v>
      </c>
      <c r="C166" s="10" t="s">
        <v>146</v>
      </c>
      <c r="D166" s="10" t="s">
        <v>34</v>
      </c>
      <c r="E166" s="10" t="s">
        <v>141</v>
      </c>
      <c r="F166" s="11" t="n">
        <v>34</v>
      </c>
      <c r="G166" s="11" t="n">
        <v>4</v>
      </c>
      <c r="H166" s="26" t="n">
        <v>8603.84</v>
      </c>
      <c r="I166" s="26" t="n">
        <f aca="false">H166/G166</f>
        <v>2150.96</v>
      </c>
      <c r="J166" s="10" t="s">
        <v>280</v>
      </c>
      <c r="K166" s="10" t="s">
        <v>281</v>
      </c>
    </row>
    <row r="167" customFormat="false" ht="18.75" hidden="false" customHeight="true" outlineLevel="0" collapsed="false">
      <c r="A167" s="15" t="s">
        <v>479</v>
      </c>
      <c r="B167" s="15" t="s">
        <v>480</v>
      </c>
      <c r="C167" s="15" t="s">
        <v>207</v>
      </c>
      <c r="D167" s="15" t="s">
        <v>35</v>
      </c>
      <c r="E167" s="15" t="s">
        <v>284</v>
      </c>
      <c r="F167" s="16" t="n">
        <v>5</v>
      </c>
      <c r="G167" s="16" t="n">
        <v>18</v>
      </c>
      <c r="H167" s="29" t="n">
        <v>8439.87</v>
      </c>
      <c r="I167" s="29" t="n">
        <f aca="false">H167/G167</f>
        <v>468.881666666667</v>
      </c>
      <c r="J167" s="15" t="s">
        <v>142</v>
      </c>
      <c r="K167" s="15" t="s">
        <v>143</v>
      </c>
    </row>
    <row r="168" customFormat="false" ht="18.75" hidden="false" customHeight="true" outlineLevel="0" collapsed="false">
      <c r="A168" s="10" t="s">
        <v>481</v>
      </c>
      <c r="B168" s="10" t="s">
        <v>482</v>
      </c>
      <c r="C168" s="10" t="s">
        <v>181</v>
      </c>
      <c r="D168" s="10" t="s">
        <v>36</v>
      </c>
      <c r="E168" s="10" t="s">
        <v>284</v>
      </c>
      <c r="F168" s="11" t="n">
        <v>9</v>
      </c>
      <c r="G168" s="11" t="n">
        <v>19</v>
      </c>
      <c r="H168" s="26" t="n">
        <v>8438.75</v>
      </c>
      <c r="I168" s="26" t="n">
        <f aca="false">H168/G168</f>
        <v>444.144736842105</v>
      </c>
      <c r="J168" s="10" t="s">
        <v>142</v>
      </c>
      <c r="K168" s="10" t="s">
        <v>143</v>
      </c>
    </row>
    <row r="169" customFormat="false" ht="18.75" hidden="false" customHeight="true" outlineLevel="0" collapsed="false">
      <c r="A169" s="15" t="s">
        <v>483</v>
      </c>
      <c r="B169" s="15" t="s">
        <v>484</v>
      </c>
      <c r="C169" s="15" t="s">
        <v>146</v>
      </c>
      <c r="D169" s="15" t="s">
        <v>34</v>
      </c>
      <c r="E169" s="15" t="s">
        <v>284</v>
      </c>
      <c r="F169" s="16" t="n">
        <v>14</v>
      </c>
      <c r="G169" s="16" t="n">
        <v>23</v>
      </c>
      <c r="H169" s="29" t="n">
        <v>8318.8</v>
      </c>
      <c r="I169" s="29" t="n">
        <f aca="false">H169/G169</f>
        <v>361.686956521739</v>
      </c>
      <c r="J169" s="15" t="s">
        <v>142</v>
      </c>
      <c r="K169" s="15" t="s">
        <v>143</v>
      </c>
    </row>
    <row r="170" customFormat="false" ht="18.75" hidden="false" customHeight="true" outlineLevel="0" collapsed="false">
      <c r="A170" s="10" t="s">
        <v>485</v>
      </c>
      <c r="B170" s="10" t="s">
        <v>486</v>
      </c>
      <c r="C170" s="10" t="s">
        <v>160</v>
      </c>
      <c r="D170" s="10" t="s">
        <v>36</v>
      </c>
      <c r="E170" s="10" t="s">
        <v>284</v>
      </c>
      <c r="F170" s="11" t="n">
        <v>5</v>
      </c>
      <c r="G170" s="11" t="n">
        <v>24</v>
      </c>
      <c r="H170" s="26" t="n">
        <v>8302.72</v>
      </c>
      <c r="I170" s="26" t="n">
        <f aca="false">H170/G170</f>
        <v>345.946666666667</v>
      </c>
      <c r="J170" s="10" t="s">
        <v>142</v>
      </c>
      <c r="K170" s="10" t="s">
        <v>143</v>
      </c>
    </row>
    <row r="171" customFormat="false" ht="18.75" hidden="false" customHeight="true" outlineLevel="0" collapsed="false">
      <c r="A171" s="15" t="s">
        <v>487</v>
      </c>
      <c r="B171" s="15" t="s">
        <v>488</v>
      </c>
      <c r="C171" s="15" t="s">
        <v>184</v>
      </c>
      <c r="D171" s="15" t="s">
        <v>34</v>
      </c>
      <c r="E171" s="15" t="s">
        <v>284</v>
      </c>
      <c r="F171" s="16" t="n">
        <v>6</v>
      </c>
      <c r="G171" s="16" t="n">
        <v>21</v>
      </c>
      <c r="H171" s="29" t="n">
        <v>8242.43</v>
      </c>
      <c r="I171" s="29" t="n">
        <f aca="false">H171/G171</f>
        <v>392.496666666667</v>
      </c>
      <c r="J171" s="15" t="s">
        <v>142</v>
      </c>
      <c r="K171" s="15" t="s">
        <v>143</v>
      </c>
    </row>
    <row r="172" customFormat="false" ht="18.75" hidden="false" customHeight="true" outlineLevel="0" collapsed="false">
      <c r="A172" s="10" t="s">
        <v>489</v>
      </c>
      <c r="B172" s="10" t="s">
        <v>490</v>
      </c>
      <c r="C172" s="10" t="s">
        <v>166</v>
      </c>
      <c r="D172" s="10" t="s">
        <v>35</v>
      </c>
      <c r="E172" s="10" t="s">
        <v>284</v>
      </c>
      <c r="F172" s="11" t="n">
        <v>56</v>
      </c>
      <c r="G172" s="11" t="n">
        <v>16</v>
      </c>
      <c r="H172" s="26" t="n">
        <v>8225.71</v>
      </c>
      <c r="I172" s="26" t="n">
        <f aca="false">H172/G172</f>
        <v>514.106875</v>
      </c>
      <c r="J172" s="10" t="s">
        <v>189</v>
      </c>
      <c r="K172" s="10" t="s">
        <v>190</v>
      </c>
    </row>
    <row r="173" customFormat="false" ht="18.75" hidden="false" customHeight="true" outlineLevel="0" collapsed="false">
      <c r="A173" s="15" t="s">
        <v>491</v>
      </c>
      <c r="B173" s="15" t="s">
        <v>492</v>
      </c>
      <c r="C173" s="15" t="s">
        <v>207</v>
      </c>
      <c r="D173" s="15" t="s">
        <v>35</v>
      </c>
      <c r="E173" s="15" t="s">
        <v>284</v>
      </c>
      <c r="F173" s="16" t="n">
        <v>12</v>
      </c>
      <c r="G173" s="16" t="n">
        <v>17</v>
      </c>
      <c r="H173" s="29" t="n">
        <v>8217.5</v>
      </c>
      <c r="I173" s="29" t="n">
        <f aca="false">H173/G173</f>
        <v>483.382352941176</v>
      </c>
      <c r="J173" s="15" t="s">
        <v>142</v>
      </c>
      <c r="K173" s="15" t="s">
        <v>143</v>
      </c>
    </row>
    <row r="174" customFormat="false" ht="18.75" hidden="false" customHeight="true" outlineLevel="0" collapsed="false">
      <c r="A174" s="10" t="s">
        <v>493</v>
      </c>
      <c r="B174" s="10" t="s">
        <v>494</v>
      </c>
      <c r="C174" s="10" t="s">
        <v>146</v>
      </c>
      <c r="D174" s="10" t="s">
        <v>34</v>
      </c>
      <c r="E174" s="10" t="s">
        <v>284</v>
      </c>
      <c r="F174" s="11" t="n">
        <v>13</v>
      </c>
      <c r="G174" s="11" t="n">
        <v>19</v>
      </c>
      <c r="H174" s="26" t="n">
        <v>8202.17</v>
      </c>
      <c r="I174" s="26" t="n">
        <f aca="false">H174/G174</f>
        <v>431.693157894737</v>
      </c>
      <c r="J174" s="10" t="s">
        <v>142</v>
      </c>
      <c r="K174" s="10" t="s">
        <v>143</v>
      </c>
    </row>
    <row r="175" customFormat="false" ht="18.75" hidden="false" customHeight="true" outlineLevel="0" collapsed="false">
      <c r="A175" s="15" t="s">
        <v>495</v>
      </c>
      <c r="B175" s="15" t="s">
        <v>496</v>
      </c>
      <c r="C175" s="15" t="s">
        <v>184</v>
      </c>
      <c r="D175" s="15" t="s">
        <v>34</v>
      </c>
      <c r="E175" s="15" t="s">
        <v>284</v>
      </c>
      <c r="F175" s="16" t="n">
        <v>35</v>
      </c>
      <c r="G175" s="16" t="n">
        <v>14</v>
      </c>
      <c r="H175" s="29" t="n">
        <v>8170.08</v>
      </c>
      <c r="I175" s="29" t="n">
        <f aca="false">H175/G175</f>
        <v>583.577142857143</v>
      </c>
      <c r="J175" s="15" t="s">
        <v>171</v>
      </c>
      <c r="K175" s="15" t="s">
        <v>172</v>
      </c>
    </row>
    <row r="176" customFormat="false" ht="18.75" hidden="false" customHeight="true" outlineLevel="0" collapsed="false">
      <c r="A176" s="10" t="s">
        <v>497</v>
      </c>
      <c r="B176" s="10" t="s">
        <v>498</v>
      </c>
      <c r="C176" s="10" t="s">
        <v>163</v>
      </c>
      <c r="D176" s="10" t="s">
        <v>36</v>
      </c>
      <c r="E176" s="10" t="s">
        <v>284</v>
      </c>
      <c r="F176" s="11" t="n">
        <v>7</v>
      </c>
      <c r="G176" s="11" t="n">
        <v>19</v>
      </c>
      <c r="H176" s="26" t="n">
        <v>8160.36</v>
      </c>
      <c r="I176" s="26" t="n">
        <f aca="false">H176/G176</f>
        <v>429.492631578947</v>
      </c>
      <c r="J176" s="10" t="s">
        <v>142</v>
      </c>
      <c r="K176" s="10" t="s">
        <v>143</v>
      </c>
    </row>
    <row r="177" customFormat="false" ht="18.75" hidden="false" customHeight="true" outlineLevel="0" collapsed="false">
      <c r="A177" s="15" t="s">
        <v>499</v>
      </c>
      <c r="B177" s="15" t="s">
        <v>500</v>
      </c>
      <c r="C177" s="15" t="s">
        <v>155</v>
      </c>
      <c r="D177" s="15" t="s">
        <v>34</v>
      </c>
      <c r="E177" s="15" t="s">
        <v>284</v>
      </c>
      <c r="F177" s="16" t="n">
        <v>13</v>
      </c>
      <c r="G177" s="16" t="n">
        <v>11</v>
      </c>
      <c r="H177" s="29" t="n">
        <v>8144.61</v>
      </c>
      <c r="I177" s="29" t="n">
        <f aca="false">H177/G177</f>
        <v>740.419090909091</v>
      </c>
      <c r="J177" s="15" t="s">
        <v>142</v>
      </c>
      <c r="K177" s="15" t="s">
        <v>143</v>
      </c>
    </row>
    <row r="178" customFormat="false" ht="18.75" hidden="false" customHeight="true" outlineLevel="0" collapsed="false">
      <c r="A178" s="10" t="s">
        <v>501</v>
      </c>
      <c r="B178" s="10" t="s">
        <v>502</v>
      </c>
      <c r="C178" s="10" t="s">
        <v>207</v>
      </c>
      <c r="D178" s="10" t="s">
        <v>35</v>
      </c>
      <c r="E178" s="10" t="s">
        <v>284</v>
      </c>
      <c r="F178" s="11" t="n">
        <v>5</v>
      </c>
      <c r="G178" s="11" t="n">
        <v>15</v>
      </c>
      <c r="H178" s="26" t="n">
        <v>8095.9</v>
      </c>
      <c r="I178" s="26" t="n">
        <f aca="false">H178/G178</f>
        <v>539.726666666667</v>
      </c>
      <c r="J178" s="10" t="s">
        <v>142</v>
      </c>
      <c r="K178" s="10" t="s">
        <v>143</v>
      </c>
    </row>
    <row r="179" customFormat="false" ht="18.75" hidden="false" customHeight="true" outlineLevel="0" collapsed="false">
      <c r="A179" s="15" t="s">
        <v>503</v>
      </c>
      <c r="B179" s="15" t="s">
        <v>504</v>
      </c>
      <c r="C179" s="15" t="s">
        <v>146</v>
      </c>
      <c r="D179" s="15" t="s">
        <v>34</v>
      </c>
      <c r="E179" s="15" t="s">
        <v>284</v>
      </c>
      <c r="F179" s="16" t="n">
        <v>25</v>
      </c>
      <c r="G179" s="16" t="n">
        <v>14</v>
      </c>
      <c r="H179" s="29" t="n">
        <v>8092.14</v>
      </c>
      <c r="I179" s="29" t="n">
        <f aca="false">H179/G179</f>
        <v>578.01</v>
      </c>
      <c r="J179" s="15" t="s">
        <v>171</v>
      </c>
      <c r="K179" s="15" t="s">
        <v>172</v>
      </c>
    </row>
    <row r="180" customFormat="false" ht="18.75" hidden="false" customHeight="true" outlineLevel="0" collapsed="false">
      <c r="A180" s="10" t="s">
        <v>505</v>
      </c>
      <c r="B180" s="10" t="s">
        <v>236</v>
      </c>
      <c r="C180" s="10" t="s">
        <v>207</v>
      </c>
      <c r="D180" s="10" t="s">
        <v>35</v>
      </c>
      <c r="E180" s="10" t="s">
        <v>384</v>
      </c>
      <c r="F180" s="11" t="n">
        <v>4</v>
      </c>
      <c r="G180" s="11" t="n">
        <v>23</v>
      </c>
      <c r="H180" s="26" t="n">
        <v>7946.87</v>
      </c>
      <c r="I180" s="26" t="n">
        <f aca="false">H180/G180</f>
        <v>345.516086956522</v>
      </c>
      <c r="J180" s="10" t="s">
        <v>142</v>
      </c>
      <c r="K180" s="10" t="s">
        <v>143</v>
      </c>
    </row>
    <row r="181" customFormat="false" ht="18.75" hidden="false" customHeight="true" outlineLevel="0" collapsed="false">
      <c r="A181" s="15" t="s">
        <v>506</v>
      </c>
      <c r="B181" s="15" t="s">
        <v>507</v>
      </c>
      <c r="C181" s="15" t="s">
        <v>163</v>
      </c>
      <c r="D181" s="15" t="s">
        <v>36</v>
      </c>
      <c r="E181" s="15" t="s">
        <v>284</v>
      </c>
      <c r="F181" s="16" t="n">
        <v>7</v>
      </c>
      <c r="G181" s="16" t="n">
        <v>21</v>
      </c>
      <c r="H181" s="29" t="n">
        <v>7921.68</v>
      </c>
      <c r="I181" s="29" t="n">
        <f aca="false">H181/G181</f>
        <v>377.222857142857</v>
      </c>
      <c r="J181" s="15" t="s">
        <v>142</v>
      </c>
      <c r="K181" s="15" t="s">
        <v>143</v>
      </c>
    </row>
    <row r="182" customFormat="false" ht="18.75" hidden="false" customHeight="true" outlineLevel="0" collapsed="false">
      <c r="A182" s="10" t="s">
        <v>508</v>
      </c>
      <c r="B182" s="10" t="s">
        <v>509</v>
      </c>
      <c r="C182" s="10" t="s">
        <v>226</v>
      </c>
      <c r="D182" s="10" t="s">
        <v>36</v>
      </c>
      <c r="E182" s="10" t="s">
        <v>141</v>
      </c>
      <c r="F182" s="11" t="n">
        <v>53</v>
      </c>
      <c r="G182" s="11" t="n">
        <v>5</v>
      </c>
      <c r="H182" s="26" t="n">
        <v>7906.48</v>
      </c>
      <c r="I182" s="26" t="n">
        <f aca="false">H182/G182</f>
        <v>1581.296</v>
      </c>
      <c r="J182" s="10" t="s">
        <v>189</v>
      </c>
      <c r="K182" s="10" t="s">
        <v>190</v>
      </c>
    </row>
    <row r="183" customFormat="false" ht="18.75" hidden="false" customHeight="true" outlineLevel="0" collapsed="false">
      <c r="A183" s="15" t="s">
        <v>510</v>
      </c>
      <c r="B183" s="15" t="s">
        <v>511</v>
      </c>
      <c r="C183" s="15" t="s">
        <v>181</v>
      </c>
      <c r="D183" s="15" t="s">
        <v>36</v>
      </c>
      <c r="E183" s="15" t="s">
        <v>284</v>
      </c>
      <c r="F183" s="16" t="n">
        <v>6</v>
      </c>
      <c r="G183" s="16" t="n">
        <v>13</v>
      </c>
      <c r="H183" s="29" t="n">
        <v>7851.37</v>
      </c>
      <c r="I183" s="29" t="n">
        <f aca="false">H183/G183</f>
        <v>603.951538461539</v>
      </c>
      <c r="J183" s="15" t="s">
        <v>142</v>
      </c>
      <c r="K183" s="15" t="s">
        <v>143</v>
      </c>
    </row>
    <row r="184" customFormat="false" ht="18.75" hidden="false" customHeight="true" outlineLevel="0" collapsed="false">
      <c r="A184" s="10" t="s">
        <v>512</v>
      </c>
      <c r="B184" s="10" t="s">
        <v>513</v>
      </c>
      <c r="C184" s="10" t="s">
        <v>140</v>
      </c>
      <c r="D184" s="10" t="s">
        <v>35</v>
      </c>
      <c r="E184" s="10" t="s">
        <v>284</v>
      </c>
      <c r="F184" s="11" t="n">
        <v>10</v>
      </c>
      <c r="G184" s="11" t="n">
        <v>16</v>
      </c>
      <c r="H184" s="26" t="n">
        <v>7848.52</v>
      </c>
      <c r="I184" s="26" t="n">
        <f aca="false">H184/G184</f>
        <v>490.5325</v>
      </c>
      <c r="J184" s="10" t="s">
        <v>142</v>
      </c>
      <c r="K184" s="10" t="s">
        <v>143</v>
      </c>
    </row>
    <row r="185" customFormat="false" ht="18.75" hidden="false" customHeight="true" outlineLevel="0" collapsed="false">
      <c r="A185" s="15" t="s">
        <v>514</v>
      </c>
      <c r="B185" s="15" t="s">
        <v>515</v>
      </c>
      <c r="C185" s="15" t="s">
        <v>140</v>
      </c>
      <c r="D185" s="15" t="s">
        <v>35</v>
      </c>
      <c r="E185" s="15" t="s">
        <v>284</v>
      </c>
      <c r="F185" s="16" t="n">
        <v>5</v>
      </c>
      <c r="G185" s="16" t="n">
        <v>19</v>
      </c>
      <c r="H185" s="29" t="n">
        <v>7749.61</v>
      </c>
      <c r="I185" s="29" t="n">
        <f aca="false">H185/G185</f>
        <v>407.874210526316</v>
      </c>
      <c r="J185" s="15" t="s">
        <v>142</v>
      </c>
      <c r="K185" s="15" t="s">
        <v>143</v>
      </c>
    </row>
    <row r="186" customFormat="false" ht="18.75" hidden="false" customHeight="true" outlineLevel="0" collapsed="false">
      <c r="A186" s="10" t="s">
        <v>516</v>
      </c>
      <c r="B186" s="10" t="s">
        <v>517</v>
      </c>
      <c r="C186" s="10" t="s">
        <v>226</v>
      </c>
      <c r="D186" s="10" t="s">
        <v>36</v>
      </c>
      <c r="E186" s="10" t="s">
        <v>284</v>
      </c>
      <c r="F186" s="11" t="n">
        <v>10</v>
      </c>
      <c r="G186" s="11" t="n">
        <v>15</v>
      </c>
      <c r="H186" s="26" t="n">
        <v>7687.5</v>
      </c>
      <c r="I186" s="26" t="n">
        <f aca="false">H186/G186</f>
        <v>512.5</v>
      </c>
      <c r="J186" s="10" t="s">
        <v>142</v>
      </c>
      <c r="K186" s="10" t="s">
        <v>143</v>
      </c>
    </row>
    <row r="187" customFormat="false" ht="18.75" hidden="false" customHeight="true" outlineLevel="0" collapsed="false">
      <c r="A187" s="15" t="s">
        <v>518</v>
      </c>
      <c r="B187" s="15" t="s">
        <v>519</v>
      </c>
      <c r="C187" s="15" t="s">
        <v>199</v>
      </c>
      <c r="D187" s="15" t="s">
        <v>36</v>
      </c>
      <c r="E187" s="15" t="s">
        <v>384</v>
      </c>
      <c r="F187" s="16" t="n">
        <v>14</v>
      </c>
      <c r="G187" s="16" t="n">
        <v>16</v>
      </c>
      <c r="H187" s="29" t="n">
        <v>7654.44</v>
      </c>
      <c r="I187" s="29" t="n">
        <f aca="false">H187/G187</f>
        <v>478.4025</v>
      </c>
      <c r="J187" s="15" t="s">
        <v>142</v>
      </c>
      <c r="K187" s="15" t="s">
        <v>143</v>
      </c>
    </row>
    <row r="188" customFormat="false" ht="18.75" hidden="false" customHeight="true" outlineLevel="0" collapsed="false">
      <c r="A188" s="10" t="s">
        <v>520</v>
      </c>
      <c r="B188" s="10" t="s">
        <v>448</v>
      </c>
      <c r="C188" s="10" t="s">
        <v>181</v>
      </c>
      <c r="D188" s="10" t="s">
        <v>36</v>
      </c>
      <c r="E188" s="10" t="s">
        <v>284</v>
      </c>
      <c r="F188" s="11" t="n">
        <v>12</v>
      </c>
      <c r="G188" s="11" t="n">
        <v>21</v>
      </c>
      <c r="H188" s="26" t="n">
        <v>7630.18</v>
      </c>
      <c r="I188" s="26" t="n">
        <f aca="false">H188/G188</f>
        <v>363.341904761905</v>
      </c>
      <c r="J188" s="10" t="s">
        <v>142</v>
      </c>
      <c r="K188" s="10" t="s">
        <v>143</v>
      </c>
    </row>
    <row r="189" customFormat="false" ht="18.75" hidden="false" customHeight="true" outlineLevel="0" collapsed="false">
      <c r="A189" s="15" t="s">
        <v>521</v>
      </c>
      <c r="B189" s="15" t="s">
        <v>312</v>
      </c>
      <c r="C189" s="15" t="s">
        <v>199</v>
      </c>
      <c r="D189" s="15" t="s">
        <v>36</v>
      </c>
      <c r="E189" s="15" t="s">
        <v>284</v>
      </c>
      <c r="F189" s="16" t="n">
        <v>65</v>
      </c>
      <c r="G189" s="16" t="n">
        <v>12</v>
      </c>
      <c r="H189" s="29" t="n">
        <v>7590.19</v>
      </c>
      <c r="I189" s="29" t="n">
        <f aca="false">H189/G189</f>
        <v>632.515833333333</v>
      </c>
      <c r="J189" s="15" t="s">
        <v>189</v>
      </c>
      <c r="K189" s="15" t="s">
        <v>190</v>
      </c>
    </row>
    <row r="190" customFormat="false" ht="18.75" hidden="false" customHeight="true" outlineLevel="0" collapsed="false">
      <c r="A190" s="10" t="s">
        <v>522</v>
      </c>
      <c r="B190" s="10" t="s">
        <v>523</v>
      </c>
      <c r="C190" s="10" t="s">
        <v>160</v>
      </c>
      <c r="D190" s="10" t="s">
        <v>36</v>
      </c>
      <c r="E190" s="10" t="s">
        <v>284</v>
      </c>
      <c r="F190" s="11" t="n">
        <v>31</v>
      </c>
      <c r="G190" s="11" t="n">
        <v>20</v>
      </c>
      <c r="H190" s="26" t="n">
        <v>7587.31</v>
      </c>
      <c r="I190" s="26" t="n">
        <f aca="false">H190/G190</f>
        <v>379.3655</v>
      </c>
      <c r="J190" s="10" t="s">
        <v>171</v>
      </c>
      <c r="K190" s="10" t="s">
        <v>172</v>
      </c>
    </row>
    <row r="191" customFormat="false" ht="18.75" hidden="false" customHeight="true" outlineLevel="0" collapsed="false">
      <c r="A191" s="15" t="s">
        <v>524</v>
      </c>
      <c r="B191" s="15" t="s">
        <v>525</v>
      </c>
      <c r="C191" s="15" t="s">
        <v>163</v>
      </c>
      <c r="D191" s="15" t="s">
        <v>36</v>
      </c>
      <c r="E191" s="15" t="s">
        <v>141</v>
      </c>
      <c r="F191" s="16" t="n">
        <v>240</v>
      </c>
      <c r="G191" s="16" t="n">
        <v>3</v>
      </c>
      <c r="H191" s="29" t="n">
        <v>7578.96</v>
      </c>
      <c r="I191" s="29" t="n">
        <f aca="false">H191/G191</f>
        <v>2526.32</v>
      </c>
      <c r="J191" s="15" t="s">
        <v>253</v>
      </c>
      <c r="K191" s="15" t="s">
        <v>254</v>
      </c>
    </row>
    <row r="192" customFormat="false" ht="18.75" hidden="false" customHeight="true" outlineLevel="0" collapsed="false">
      <c r="A192" s="10" t="s">
        <v>526</v>
      </c>
      <c r="B192" s="10" t="s">
        <v>527</v>
      </c>
      <c r="C192" s="10" t="s">
        <v>219</v>
      </c>
      <c r="D192" s="10" t="s">
        <v>35</v>
      </c>
      <c r="E192" s="10" t="s">
        <v>384</v>
      </c>
      <c r="F192" s="11" t="n">
        <v>56</v>
      </c>
      <c r="G192" s="11" t="n">
        <v>15</v>
      </c>
      <c r="H192" s="26" t="n">
        <v>7570.91</v>
      </c>
      <c r="I192" s="26" t="n">
        <f aca="false">H192/G192</f>
        <v>504.727333333333</v>
      </c>
      <c r="J192" s="10" t="s">
        <v>189</v>
      </c>
      <c r="K192" s="10" t="s">
        <v>190</v>
      </c>
    </row>
    <row r="193" customFormat="false" ht="18.75" hidden="false" customHeight="true" outlineLevel="0" collapsed="false">
      <c r="A193" s="15" t="s">
        <v>528</v>
      </c>
      <c r="B193" s="15" t="s">
        <v>529</v>
      </c>
      <c r="C193" s="15" t="s">
        <v>181</v>
      </c>
      <c r="D193" s="15" t="s">
        <v>36</v>
      </c>
      <c r="E193" s="15" t="s">
        <v>284</v>
      </c>
      <c r="F193" s="16" t="n">
        <v>8</v>
      </c>
      <c r="G193" s="16" t="n">
        <v>13</v>
      </c>
      <c r="H193" s="29" t="n">
        <v>7565.55</v>
      </c>
      <c r="I193" s="29" t="n">
        <f aca="false">H193/G193</f>
        <v>581.965384615385</v>
      </c>
      <c r="J193" s="15" t="s">
        <v>142</v>
      </c>
      <c r="K193" s="15" t="s">
        <v>143</v>
      </c>
    </row>
    <row r="194" customFormat="false" ht="18.75" hidden="false" customHeight="true" outlineLevel="0" collapsed="false">
      <c r="A194" s="10" t="s">
        <v>530</v>
      </c>
      <c r="B194" s="10" t="s">
        <v>531</v>
      </c>
      <c r="C194" s="10" t="s">
        <v>226</v>
      </c>
      <c r="D194" s="10" t="s">
        <v>36</v>
      </c>
      <c r="E194" s="10" t="s">
        <v>284</v>
      </c>
      <c r="F194" s="11" t="n">
        <v>37</v>
      </c>
      <c r="G194" s="11" t="n">
        <v>23</v>
      </c>
      <c r="H194" s="26" t="n">
        <v>7507.74</v>
      </c>
      <c r="I194" s="26" t="n">
        <f aca="false">H194/G194</f>
        <v>326.42347826087</v>
      </c>
      <c r="J194" s="10" t="s">
        <v>171</v>
      </c>
      <c r="K194" s="10" t="s">
        <v>172</v>
      </c>
    </row>
    <row r="195" customFormat="false" ht="18.75" hidden="false" customHeight="true" outlineLevel="0" collapsed="false">
      <c r="A195" s="15" t="s">
        <v>532</v>
      </c>
      <c r="B195" s="15" t="s">
        <v>533</v>
      </c>
      <c r="C195" s="15" t="s">
        <v>140</v>
      </c>
      <c r="D195" s="15" t="s">
        <v>35</v>
      </c>
      <c r="E195" s="15" t="s">
        <v>284</v>
      </c>
      <c r="F195" s="16" t="n">
        <v>49</v>
      </c>
      <c r="G195" s="16" t="n">
        <v>10</v>
      </c>
      <c r="H195" s="29" t="n">
        <v>7501.89</v>
      </c>
      <c r="I195" s="29" t="n">
        <f aca="false">H195/G195</f>
        <v>750.189</v>
      </c>
      <c r="J195" s="15" t="s">
        <v>189</v>
      </c>
      <c r="K195" s="15" t="s">
        <v>190</v>
      </c>
    </row>
    <row r="196" customFormat="false" ht="18.75" hidden="false" customHeight="true" outlineLevel="0" collapsed="false">
      <c r="A196" s="10" t="s">
        <v>534</v>
      </c>
      <c r="B196" s="10" t="s">
        <v>535</v>
      </c>
      <c r="C196" s="10" t="s">
        <v>216</v>
      </c>
      <c r="D196" s="10" t="s">
        <v>34</v>
      </c>
      <c r="E196" s="10" t="s">
        <v>284</v>
      </c>
      <c r="F196" s="11" t="n">
        <v>9</v>
      </c>
      <c r="G196" s="11" t="n">
        <v>23</v>
      </c>
      <c r="H196" s="26" t="n">
        <v>7493.65</v>
      </c>
      <c r="I196" s="26" t="n">
        <f aca="false">H196/G196</f>
        <v>325.810869565217</v>
      </c>
      <c r="J196" s="10" t="s">
        <v>142</v>
      </c>
      <c r="K196" s="10" t="s">
        <v>143</v>
      </c>
    </row>
    <row r="197" customFormat="false" ht="18.75" hidden="false" customHeight="true" outlineLevel="0" collapsed="false">
      <c r="A197" s="15" t="s">
        <v>536</v>
      </c>
      <c r="B197" s="15" t="s">
        <v>537</v>
      </c>
      <c r="C197" s="15" t="s">
        <v>216</v>
      </c>
      <c r="D197" s="15" t="s">
        <v>34</v>
      </c>
      <c r="E197" s="15" t="s">
        <v>384</v>
      </c>
      <c r="F197" s="16" t="n">
        <v>1</v>
      </c>
      <c r="G197" s="16" t="n">
        <v>19</v>
      </c>
      <c r="H197" s="29" t="n">
        <v>7487.82</v>
      </c>
      <c r="I197" s="29" t="n">
        <f aca="false">H197/G197</f>
        <v>394.095789473684</v>
      </c>
      <c r="J197" s="15" t="s">
        <v>142</v>
      </c>
      <c r="K197" s="15" t="s">
        <v>143</v>
      </c>
    </row>
    <row r="198" customFormat="false" ht="18.75" hidden="false" customHeight="true" outlineLevel="0" collapsed="false">
      <c r="A198" s="10" t="s">
        <v>538</v>
      </c>
      <c r="B198" s="10" t="s">
        <v>539</v>
      </c>
      <c r="C198" s="10" t="s">
        <v>219</v>
      </c>
      <c r="D198" s="10" t="s">
        <v>35</v>
      </c>
      <c r="E198" s="10" t="s">
        <v>284</v>
      </c>
      <c r="F198" s="11" t="n">
        <v>5</v>
      </c>
      <c r="G198" s="11" t="n">
        <v>15</v>
      </c>
      <c r="H198" s="26" t="n">
        <v>7330.71</v>
      </c>
      <c r="I198" s="26" t="n">
        <f aca="false">H198/G198</f>
        <v>488.714</v>
      </c>
      <c r="J198" s="10" t="s">
        <v>142</v>
      </c>
      <c r="K198" s="10" t="s">
        <v>143</v>
      </c>
    </row>
    <row r="199" customFormat="false" ht="18.75" hidden="false" customHeight="true" outlineLevel="0" collapsed="false">
      <c r="A199" s="15" t="s">
        <v>540</v>
      </c>
      <c r="B199" s="15" t="s">
        <v>541</v>
      </c>
      <c r="C199" s="15" t="s">
        <v>152</v>
      </c>
      <c r="D199" s="15" t="s">
        <v>35</v>
      </c>
      <c r="E199" s="15" t="s">
        <v>284</v>
      </c>
      <c r="F199" s="16" t="n">
        <v>36</v>
      </c>
      <c r="G199" s="16" t="n">
        <v>13</v>
      </c>
      <c r="H199" s="29" t="n">
        <v>7306.26</v>
      </c>
      <c r="I199" s="29" t="n">
        <f aca="false">H199/G199</f>
        <v>562.02</v>
      </c>
      <c r="J199" s="15" t="s">
        <v>171</v>
      </c>
      <c r="K199" s="15" t="s">
        <v>172</v>
      </c>
    </row>
    <row r="200" customFormat="false" ht="18.75" hidden="false" customHeight="true" outlineLevel="0" collapsed="false">
      <c r="A200" s="10" t="s">
        <v>542</v>
      </c>
      <c r="B200" s="10" t="s">
        <v>543</v>
      </c>
      <c r="C200" s="10" t="s">
        <v>163</v>
      </c>
      <c r="D200" s="10" t="s">
        <v>36</v>
      </c>
      <c r="E200" s="10" t="s">
        <v>284</v>
      </c>
      <c r="F200" s="11" t="n">
        <v>1</v>
      </c>
      <c r="G200" s="11" t="n">
        <v>20</v>
      </c>
      <c r="H200" s="26" t="n">
        <v>7259.72</v>
      </c>
      <c r="I200" s="26" t="n">
        <f aca="false">H200/G200</f>
        <v>362.986</v>
      </c>
      <c r="J200" s="10" t="s">
        <v>142</v>
      </c>
      <c r="K200" s="10" t="s">
        <v>143</v>
      </c>
    </row>
    <row r="201" customFormat="false" ht="18.75" hidden="false" customHeight="true" outlineLevel="0" collapsed="false">
      <c r="A201" s="15" t="s">
        <v>544</v>
      </c>
      <c r="B201" s="15" t="s">
        <v>426</v>
      </c>
      <c r="C201" s="15" t="s">
        <v>219</v>
      </c>
      <c r="D201" s="15" t="s">
        <v>35</v>
      </c>
      <c r="E201" s="15" t="s">
        <v>284</v>
      </c>
      <c r="F201" s="16" t="n">
        <v>19</v>
      </c>
      <c r="G201" s="16" t="n">
        <v>23</v>
      </c>
      <c r="H201" s="29" t="n">
        <v>7259.09</v>
      </c>
      <c r="I201" s="29" t="n">
        <f aca="false">H201/G201</f>
        <v>315.612608695652</v>
      </c>
      <c r="J201" s="15" t="s">
        <v>142</v>
      </c>
      <c r="K201" s="15" t="s">
        <v>143</v>
      </c>
    </row>
    <row r="202" customFormat="false" ht="18.75" hidden="false" customHeight="true" outlineLevel="0" collapsed="false">
      <c r="A202" s="10" t="s">
        <v>545</v>
      </c>
      <c r="B202" s="10" t="s">
        <v>546</v>
      </c>
      <c r="C202" s="10" t="s">
        <v>166</v>
      </c>
      <c r="D202" s="10" t="s">
        <v>35</v>
      </c>
      <c r="E202" s="10" t="s">
        <v>284</v>
      </c>
      <c r="F202" s="11" t="n">
        <v>9</v>
      </c>
      <c r="G202" s="11" t="n">
        <v>17</v>
      </c>
      <c r="H202" s="26" t="n">
        <v>7232.61</v>
      </c>
      <c r="I202" s="26" t="n">
        <f aca="false">H202/G202</f>
        <v>425.447647058823</v>
      </c>
      <c r="J202" s="10" t="s">
        <v>142</v>
      </c>
      <c r="K202" s="10" t="s">
        <v>143</v>
      </c>
    </row>
    <row r="203" customFormat="false" ht="18.75" hidden="false" customHeight="true" outlineLevel="0" collapsed="false">
      <c r="A203" s="15" t="s">
        <v>547</v>
      </c>
      <c r="B203" s="15" t="s">
        <v>366</v>
      </c>
      <c r="C203" s="15" t="s">
        <v>219</v>
      </c>
      <c r="D203" s="15" t="s">
        <v>35</v>
      </c>
      <c r="E203" s="15" t="s">
        <v>284</v>
      </c>
      <c r="F203" s="16" t="n">
        <v>8</v>
      </c>
      <c r="G203" s="16" t="n">
        <v>17</v>
      </c>
      <c r="H203" s="29" t="n">
        <v>7156.89</v>
      </c>
      <c r="I203" s="29" t="n">
        <f aca="false">H203/G203</f>
        <v>420.993529411765</v>
      </c>
      <c r="J203" s="15" t="s">
        <v>142</v>
      </c>
      <c r="K203" s="15" t="s">
        <v>143</v>
      </c>
    </row>
    <row r="204" customFormat="false" ht="18.75" hidden="false" customHeight="true" outlineLevel="0" collapsed="false">
      <c r="A204" s="10" t="s">
        <v>548</v>
      </c>
      <c r="B204" s="10" t="s">
        <v>549</v>
      </c>
      <c r="C204" s="10" t="s">
        <v>160</v>
      </c>
      <c r="D204" s="10" t="s">
        <v>36</v>
      </c>
      <c r="E204" s="10" t="s">
        <v>284</v>
      </c>
      <c r="F204" s="11" t="n">
        <v>19</v>
      </c>
      <c r="G204" s="11" t="n">
        <v>14</v>
      </c>
      <c r="H204" s="26" t="n">
        <v>7125.02</v>
      </c>
      <c r="I204" s="26" t="n">
        <f aca="false">H204/G204</f>
        <v>508.93</v>
      </c>
      <c r="J204" s="10" t="s">
        <v>142</v>
      </c>
      <c r="K204" s="10" t="s">
        <v>143</v>
      </c>
    </row>
    <row r="205" customFormat="false" ht="18.75" hidden="false" customHeight="true" outlineLevel="0" collapsed="false">
      <c r="A205" s="15" t="s">
        <v>550</v>
      </c>
      <c r="B205" s="15" t="s">
        <v>551</v>
      </c>
      <c r="C205" s="15" t="s">
        <v>219</v>
      </c>
      <c r="D205" s="15" t="s">
        <v>35</v>
      </c>
      <c r="E205" s="15" t="s">
        <v>284</v>
      </c>
      <c r="F205" s="16" t="n">
        <v>3</v>
      </c>
      <c r="G205" s="16" t="n">
        <v>18</v>
      </c>
      <c r="H205" s="29" t="n">
        <v>7089.52</v>
      </c>
      <c r="I205" s="29" t="n">
        <f aca="false">H205/G205</f>
        <v>393.862222222222</v>
      </c>
      <c r="J205" s="15" t="s">
        <v>142</v>
      </c>
      <c r="K205" s="15" t="s">
        <v>143</v>
      </c>
    </row>
    <row r="206" customFormat="false" ht="18.75" hidden="false" customHeight="true" outlineLevel="0" collapsed="false">
      <c r="A206" s="10" t="s">
        <v>552</v>
      </c>
      <c r="B206" s="10" t="s">
        <v>553</v>
      </c>
      <c r="C206" s="10" t="s">
        <v>160</v>
      </c>
      <c r="D206" s="10" t="s">
        <v>36</v>
      </c>
      <c r="E206" s="10" t="s">
        <v>284</v>
      </c>
      <c r="F206" s="11" t="n">
        <v>23</v>
      </c>
      <c r="G206" s="11" t="n">
        <v>7</v>
      </c>
      <c r="H206" s="26" t="n">
        <v>7080.75</v>
      </c>
      <c r="I206" s="26" t="n">
        <f aca="false">H206/G206</f>
        <v>1011.53571428571</v>
      </c>
      <c r="J206" s="10" t="s">
        <v>171</v>
      </c>
      <c r="K206" s="10" t="s">
        <v>172</v>
      </c>
    </row>
    <row r="207" customFormat="false" ht="18.75" hidden="false" customHeight="true" outlineLevel="0" collapsed="false">
      <c r="A207" s="15" t="s">
        <v>554</v>
      </c>
      <c r="B207" s="15" t="s">
        <v>555</v>
      </c>
      <c r="C207" s="15" t="s">
        <v>181</v>
      </c>
      <c r="D207" s="15" t="s">
        <v>36</v>
      </c>
      <c r="E207" s="15" t="s">
        <v>284</v>
      </c>
      <c r="F207" s="16" t="n">
        <v>90</v>
      </c>
      <c r="G207" s="16" t="n">
        <v>9</v>
      </c>
      <c r="H207" s="29" t="n">
        <v>7064.97</v>
      </c>
      <c r="I207" s="29" t="n">
        <f aca="false">H207/G207</f>
        <v>784.996666666667</v>
      </c>
      <c r="J207" s="15" t="s">
        <v>189</v>
      </c>
      <c r="K207" s="15" t="s">
        <v>190</v>
      </c>
    </row>
    <row r="208" customFormat="false" ht="18.75" hidden="false" customHeight="true" outlineLevel="0" collapsed="false">
      <c r="A208" s="10" t="s">
        <v>556</v>
      </c>
      <c r="B208" s="10" t="s">
        <v>557</v>
      </c>
      <c r="C208" s="10" t="s">
        <v>149</v>
      </c>
      <c r="D208" s="10" t="s">
        <v>35</v>
      </c>
      <c r="E208" s="10" t="s">
        <v>284</v>
      </c>
      <c r="F208" s="11" t="n">
        <v>7</v>
      </c>
      <c r="G208" s="11" t="n">
        <v>14</v>
      </c>
      <c r="H208" s="26" t="n">
        <v>7061.21</v>
      </c>
      <c r="I208" s="26" t="n">
        <f aca="false">H208/G208</f>
        <v>504.372142857143</v>
      </c>
      <c r="J208" s="10" t="s">
        <v>142</v>
      </c>
      <c r="K208" s="10" t="s">
        <v>143</v>
      </c>
    </row>
    <row r="209" customFormat="false" ht="18.75" hidden="false" customHeight="true" outlineLevel="0" collapsed="false">
      <c r="A209" s="15" t="s">
        <v>558</v>
      </c>
      <c r="B209" s="15" t="s">
        <v>559</v>
      </c>
      <c r="C209" s="15" t="s">
        <v>216</v>
      </c>
      <c r="D209" s="15" t="s">
        <v>34</v>
      </c>
      <c r="E209" s="15" t="s">
        <v>284</v>
      </c>
      <c r="F209" s="16" t="n">
        <v>53</v>
      </c>
      <c r="G209" s="16" t="n">
        <v>13</v>
      </c>
      <c r="H209" s="29" t="n">
        <v>7045.27</v>
      </c>
      <c r="I209" s="29" t="n">
        <f aca="false">H209/G209</f>
        <v>541.943846153846</v>
      </c>
      <c r="J209" s="15" t="s">
        <v>189</v>
      </c>
      <c r="K209" s="15" t="s">
        <v>190</v>
      </c>
    </row>
    <row r="210" customFormat="false" ht="18.75" hidden="false" customHeight="true" outlineLevel="0" collapsed="false">
      <c r="A210" s="10" t="s">
        <v>560</v>
      </c>
      <c r="B210" s="10" t="s">
        <v>561</v>
      </c>
      <c r="C210" s="10" t="s">
        <v>140</v>
      </c>
      <c r="D210" s="10" t="s">
        <v>35</v>
      </c>
      <c r="E210" s="10" t="s">
        <v>284</v>
      </c>
      <c r="F210" s="11" t="n">
        <v>49</v>
      </c>
      <c r="G210" s="11" t="n">
        <v>19</v>
      </c>
      <c r="H210" s="26" t="n">
        <v>7001.6</v>
      </c>
      <c r="I210" s="26" t="n">
        <f aca="false">H210/G210</f>
        <v>368.505263157895</v>
      </c>
      <c r="J210" s="10" t="s">
        <v>171</v>
      </c>
      <c r="K210" s="10" t="s">
        <v>172</v>
      </c>
    </row>
    <row r="211" customFormat="false" ht="18.75" hidden="false" customHeight="true" outlineLevel="0" collapsed="false">
      <c r="A211" s="15" t="s">
        <v>562</v>
      </c>
      <c r="B211" s="15" t="s">
        <v>563</v>
      </c>
      <c r="C211" s="15" t="s">
        <v>152</v>
      </c>
      <c r="D211" s="15" t="s">
        <v>35</v>
      </c>
      <c r="E211" s="15" t="s">
        <v>284</v>
      </c>
      <c r="F211" s="16" t="n">
        <v>5</v>
      </c>
      <c r="G211" s="16" t="n">
        <v>11</v>
      </c>
      <c r="H211" s="29" t="n">
        <v>6963.48</v>
      </c>
      <c r="I211" s="29" t="n">
        <f aca="false">H211/G211</f>
        <v>633.043636363636</v>
      </c>
      <c r="J211" s="15" t="s">
        <v>142</v>
      </c>
      <c r="K211" s="15" t="s">
        <v>143</v>
      </c>
    </row>
    <row r="212" customFormat="false" ht="18.75" hidden="false" customHeight="true" outlineLevel="0" collapsed="false">
      <c r="A212" s="10" t="s">
        <v>564</v>
      </c>
      <c r="B212" s="10" t="s">
        <v>565</v>
      </c>
      <c r="C212" s="10" t="s">
        <v>149</v>
      </c>
      <c r="D212" s="10" t="s">
        <v>35</v>
      </c>
      <c r="E212" s="10" t="s">
        <v>284</v>
      </c>
      <c r="F212" s="11" t="n">
        <v>5</v>
      </c>
      <c r="G212" s="11" t="n">
        <v>20</v>
      </c>
      <c r="H212" s="26" t="n">
        <v>6934.58</v>
      </c>
      <c r="I212" s="26" t="n">
        <f aca="false">H212/G212</f>
        <v>346.729</v>
      </c>
      <c r="J212" s="10" t="s">
        <v>142</v>
      </c>
      <c r="K212" s="10" t="s">
        <v>143</v>
      </c>
    </row>
    <row r="213" customFormat="false" ht="18.75" hidden="false" customHeight="true" outlineLevel="0" collapsed="false">
      <c r="A213" s="15" t="s">
        <v>566</v>
      </c>
      <c r="B213" s="15" t="s">
        <v>567</v>
      </c>
      <c r="C213" s="15" t="s">
        <v>207</v>
      </c>
      <c r="D213" s="15" t="s">
        <v>35</v>
      </c>
      <c r="E213" s="15" t="s">
        <v>284</v>
      </c>
      <c r="F213" s="16" t="n">
        <v>6</v>
      </c>
      <c r="G213" s="16" t="n">
        <v>9</v>
      </c>
      <c r="H213" s="29" t="n">
        <v>6906.71</v>
      </c>
      <c r="I213" s="29" t="n">
        <f aca="false">H213/G213</f>
        <v>767.412222222222</v>
      </c>
      <c r="J213" s="15" t="s">
        <v>142</v>
      </c>
      <c r="K213" s="15" t="s">
        <v>143</v>
      </c>
    </row>
    <row r="214" customFormat="false" ht="18.75" hidden="false" customHeight="true" outlineLevel="0" collapsed="false">
      <c r="A214" s="10" t="s">
        <v>568</v>
      </c>
      <c r="B214" s="10" t="s">
        <v>569</v>
      </c>
      <c r="C214" s="10" t="s">
        <v>140</v>
      </c>
      <c r="D214" s="10" t="s">
        <v>35</v>
      </c>
      <c r="E214" s="10" t="s">
        <v>284</v>
      </c>
      <c r="F214" s="11" t="n">
        <v>2</v>
      </c>
      <c r="G214" s="11" t="n">
        <v>19</v>
      </c>
      <c r="H214" s="26" t="n">
        <v>6881.99</v>
      </c>
      <c r="I214" s="26" t="n">
        <f aca="false">H214/G214</f>
        <v>362.21</v>
      </c>
      <c r="J214" s="10" t="s">
        <v>142</v>
      </c>
      <c r="K214" s="10" t="s">
        <v>143</v>
      </c>
    </row>
    <row r="215" customFormat="false" ht="18.75" hidden="false" customHeight="true" outlineLevel="0" collapsed="false">
      <c r="A215" s="15" t="s">
        <v>570</v>
      </c>
      <c r="B215" s="15" t="s">
        <v>571</v>
      </c>
      <c r="C215" s="15" t="s">
        <v>149</v>
      </c>
      <c r="D215" s="15" t="s">
        <v>35</v>
      </c>
      <c r="E215" s="15" t="s">
        <v>284</v>
      </c>
      <c r="F215" s="16" t="n">
        <v>61</v>
      </c>
      <c r="G215" s="16" t="n">
        <v>15</v>
      </c>
      <c r="H215" s="29" t="n">
        <v>6880.81</v>
      </c>
      <c r="I215" s="29" t="n">
        <f aca="false">H215/G215</f>
        <v>458.720666666667</v>
      </c>
      <c r="J215" s="15" t="s">
        <v>189</v>
      </c>
      <c r="K215" s="15" t="s">
        <v>190</v>
      </c>
    </row>
    <row r="216" customFormat="false" ht="18.75" hidden="false" customHeight="true" outlineLevel="0" collapsed="false">
      <c r="A216" s="10" t="s">
        <v>572</v>
      </c>
      <c r="B216" s="10" t="s">
        <v>502</v>
      </c>
      <c r="C216" s="10" t="s">
        <v>207</v>
      </c>
      <c r="D216" s="10" t="s">
        <v>35</v>
      </c>
      <c r="E216" s="10" t="s">
        <v>284</v>
      </c>
      <c r="F216" s="11" t="n">
        <v>71</v>
      </c>
      <c r="G216" s="11" t="n">
        <v>8</v>
      </c>
      <c r="H216" s="26" t="n">
        <v>6865.25</v>
      </c>
      <c r="I216" s="26" t="n">
        <f aca="false">H216/G216</f>
        <v>858.15625</v>
      </c>
      <c r="J216" s="10" t="s">
        <v>189</v>
      </c>
      <c r="K216" s="10" t="s">
        <v>190</v>
      </c>
    </row>
    <row r="217" customFormat="false" ht="18.75" hidden="false" customHeight="true" outlineLevel="0" collapsed="false">
      <c r="A217" s="15" t="s">
        <v>573</v>
      </c>
      <c r="B217" s="15" t="s">
        <v>574</v>
      </c>
      <c r="C217" s="15" t="s">
        <v>160</v>
      </c>
      <c r="D217" s="15" t="s">
        <v>36</v>
      </c>
      <c r="E217" s="15" t="s">
        <v>284</v>
      </c>
      <c r="F217" s="16" t="n">
        <v>0</v>
      </c>
      <c r="G217" s="16" t="n">
        <v>18</v>
      </c>
      <c r="H217" s="29" t="n">
        <v>6858.88</v>
      </c>
      <c r="I217" s="29" t="n">
        <f aca="false">H217/G217</f>
        <v>381.048888888889</v>
      </c>
      <c r="J217" s="15" t="s">
        <v>142</v>
      </c>
      <c r="K217" s="15" t="s">
        <v>143</v>
      </c>
    </row>
    <row r="218" customFormat="false" ht="18.75" hidden="false" customHeight="true" outlineLevel="0" collapsed="false">
      <c r="A218" s="10" t="s">
        <v>575</v>
      </c>
      <c r="B218" s="10" t="s">
        <v>576</v>
      </c>
      <c r="C218" s="10" t="s">
        <v>163</v>
      </c>
      <c r="D218" s="10" t="s">
        <v>36</v>
      </c>
      <c r="E218" s="10" t="s">
        <v>141</v>
      </c>
      <c r="F218" s="11" t="n">
        <v>10</v>
      </c>
      <c r="G218" s="11" t="n">
        <v>3</v>
      </c>
      <c r="H218" s="26" t="n">
        <v>6773.96</v>
      </c>
      <c r="I218" s="26" t="n">
        <f aca="false">H218/G218</f>
        <v>2257.98666666667</v>
      </c>
      <c r="J218" s="10" t="s">
        <v>280</v>
      </c>
      <c r="K218" s="10" t="s">
        <v>281</v>
      </c>
    </row>
    <row r="219" customFormat="false" ht="18.75" hidden="false" customHeight="true" outlineLevel="0" collapsed="false">
      <c r="A219" s="15" t="s">
        <v>577</v>
      </c>
      <c r="B219" s="15" t="s">
        <v>455</v>
      </c>
      <c r="C219" s="15" t="s">
        <v>184</v>
      </c>
      <c r="D219" s="15" t="s">
        <v>34</v>
      </c>
      <c r="E219" s="15" t="s">
        <v>284</v>
      </c>
      <c r="F219" s="16" t="n">
        <v>12</v>
      </c>
      <c r="G219" s="16" t="n">
        <v>18</v>
      </c>
      <c r="H219" s="29" t="n">
        <v>6769.55</v>
      </c>
      <c r="I219" s="29" t="n">
        <f aca="false">H219/G219</f>
        <v>376.086111111111</v>
      </c>
      <c r="J219" s="15" t="s">
        <v>142</v>
      </c>
      <c r="K219" s="15" t="s">
        <v>143</v>
      </c>
    </row>
    <row r="220" customFormat="false" ht="18.75" hidden="false" customHeight="true" outlineLevel="0" collapsed="false">
      <c r="A220" s="10" t="s">
        <v>578</v>
      </c>
      <c r="B220" s="10" t="s">
        <v>579</v>
      </c>
      <c r="C220" s="10" t="s">
        <v>140</v>
      </c>
      <c r="D220" s="10" t="s">
        <v>35</v>
      </c>
      <c r="E220" s="10" t="s">
        <v>384</v>
      </c>
      <c r="F220" s="11" t="n">
        <v>15</v>
      </c>
      <c r="G220" s="11" t="n">
        <v>10</v>
      </c>
      <c r="H220" s="26" t="n">
        <v>6713.07</v>
      </c>
      <c r="I220" s="26" t="n">
        <f aca="false">H220/G220</f>
        <v>671.307</v>
      </c>
      <c r="J220" s="10" t="s">
        <v>142</v>
      </c>
      <c r="K220" s="10" t="s">
        <v>143</v>
      </c>
    </row>
    <row r="221" customFormat="false" ht="18.75" hidden="false" customHeight="true" outlineLevel="0" collapsed="false">
      <c r="A221" s="15" t="s">
        <v>580</v>
      </c>
      <c r="B221" s="15" t="s">
        <v>581</v>
      </c>
      <c r="C221" s="15" t="s">
        <v>160</v>
      </c>
      <c r="D221" s="15" t="s">
        <v>36</v>
      </c>
      <c r="E221" s="15" t="s">
        <v>284</v>
      </c>
      <c r="F221" s="16" t="n">
        <v>2</v>
      </c>
      <c r="G221" s="16" t="n">
        <v>10</v>
      </c>
      <c r="H221" s="29" t="n">
        <v>6689.91</v>
      </c>
      <c r="I221" s="29" t="n">
        <f aca="false">H221/G221</f>
        <v>668.991</v>
      </c>
      <c r="J221" s="15" t="s">
        <v>142</v>
      </c>
      <c r="K221" s="15" t="s">
        <v>143</v>
      </c>
    </row>
    <row r="222" customFormat="false" ht="18.75" hidden="false" customHeight="true" outlineLevel="0" collapsed="false">
      <c r="A222" s="10" t="s">
        <v>582</v>
      </c>
      <c r="B222" s="10" t="s">
        <v>583</v>
      </c>
      <c r="C222" s="10" t="s">
        <v>155</v>
      </c>
      <c r="D222" s="10" t="s">
        <v>34</v>
      </c>
      <c r="E222" s="10" t="s">
        <v>284</v>
      </c>
      <c r="F222" s="11" t="n">
        <v>2</v>
      </c>
      <c r="G222" s="11" t="n">
        <v>11</v>
      </c>
      <c r="H222" s="26" t="n">
        <v>6686.8</v>
      </c>
      <c r="I222" s="26" t="n">
        <f aca="false">H222/G222</f>
        <v>607.890909090909</v>
      </c>
      <c r="J222" s="10" t="s">
        <v>142</v>
      </c>
      <c r="K222" s="10" t="s">
        <v>143</v>
      </c>
    </row>
    <row r="223" customFormat="false" ht="18.75" hidden="false" customHeight="true" outlineLevel="0" collapsed="false">
      <c r="A223" s="15" t="s">
        <v>584</v>
      </c>
      <c r="B223" s="15" t="s">
        <v>585</v>
      </c>
      <c r="C223" s="15" t="s">
        <v>199</v>
      </c>
      <c r="D223" s="15" t="s">
        <v>36</v>
      </c>
      <c r="E223" s="15" t="s">
        <v>284</v>
      </c>
      <c r="F223" s="16" t="n">
        <v>15</v>
      </c>
      <c r="G223" s="16" t="n">
        <v>13</v>
      </c>
      <c r="H223" s="29" t="n">
        <v>6680.01</v>
      </c>
      <c r="I223" s="29" t="n">
        <f aca="false">H223/G223</f>
        <v>513.846923076923</v>
      </c>
      <c r="J223" s="15" t="s">
        <v>142</v>
      </c>
      <c r="K223" s="15" t="s">
        <v>143</v>
      </c>
    </row>
    <row r="224" customFormat="false" ht="18.75" hidden="false" customHeight="true" outlineLevel="0" collapsed="false">
      <c r="A224" s="10" t="s">
        <v>586</v>
      </c>
      <c r="B224" s="10" t="s">
        <v>587</v>
      </c>
      <c r="C224" s="10" t="s">
        <v>146</v>
      </c>
      <c r="D224" s="10" t="s">
        <v>34</v>
      </c>
      <c r="E224" s="10" t="s">
        <v>284</v>
      </c>
      <c r="F224" s="11" t="n">
        <v>7</v>
      </c>
      <c r="G224" s="11" t="n">
        <v>18</v>
      </c>
      <c r="H224" s="26" t="n">
        <v>6641.53</v>
      </c>
      <c r="I224" s="26" t="n">
        <f aca="false">H224/G224</f>
        <v>368.973888888889</v>
      </c>
      <c r="J224" s="10" t="s">
        <v>142</v>
      </c>
      <c r="K224" s="10" t="s">
        <v>143</v>
      </c>
    </row>
    <row r="225" customFormat="false" ht="18.75" hidden="false" customHeight="true" outlineLevel="0" collapsed="false">
      <c r="A225" s="15" t="s">
        <v>588</v>
      </c>
      <c r="B225" s="15" t="s">
        <v>252</v>
      </c>
      <c r="C225" s="15" t="s">
        <v>140</v>
      </c>
      <c r="D225" s="15" t="s">
        <v>35</v>
      </c>
      <c r="E225" s="15" t="s">
        <v>284</v>
      </c>
      <c r="F225" s="16" t="n">
        <v>23</v>
      </c>
      <c r="G225" s="16" t="n">
        <v>10</v>
      </c>
      <c r="H225" s="29" t="n">
        <v>6562.74</v>
      </c>
      <c r="I225" s="29" t="n">
        <f aca="false">H225/G225</f>
        <v>656.274</v>
      </c>
      <c r="J225" s="15" t="s">
        <v>142</v>
      </c>
      <c r="K225" s="15" t="s">
        <v>143</v>
      </c>
    </row>
    <row r="226" customFormat="false" ht="18.75" hidden="false" customHeight="true" outlineLevel="0" collapsed="false">
      <c r="A226" s="10" t="s">
        <v>589</v>
      </c>
      <c r="B226" s="10" t="s">
        <v>590</v>
      </c>
      <c r="C226" s="10" t="s">
        <v>146</v>
      </c>
      <c r="D226" s="10" t="s">
        <v>34</v>
      </c>
      <c r="E226" s="10" t="s">
        <v>384</v>
      </c>
      <c r="F226" s="11" t="n">
        <v>5</v>
      </c>
      <c r="G226" s="11" t="n">
        <v>10</v>
      </c>
      <c r="H226" s="26" t="n">
        <v>6525.39</v>
      </c>
      <c r="I226" s="26" t="n">
        <f aca="false">H226/G226</f>
        <v>652.539</v>
      </c>
      <c r="J226" s="10" t="s">
        <v>142</v>
      </c>
      <c r="K226" s="10" t="s">
        <v>143</v>
      </c>
    </row>
    <row r="227" customFormat="false" ht="18.75" hidden="false" customHeight="true" outlineLevel="0" collapsed="false">
      <c r="A227" s="15" t="s">
        <v>591</v>
      </c>
      <c r="B227" s="15" t="s">
        <v>592</v>
      </c>
      <c r="C227" s="15" t="s">
        <v>166</v>
      </c>
      <c r="D227" s="15" t="s">
        <v>35</v>
      </c>
      <c r="E227" s="15" t="s">
        <v>284</v>
      </c>
      <c r="F227" s="16" t="n">
        <v>36</v>
      </c>
      <c r="G227" s="16" t="n">
        <v>14</v>
      </c>
      <c r="H227" s="29" t="n">
        <v>6489.17</v>
      </c>
      <c r="I227" s="29" t="n">
        <f aca="false">H227/G227</f>
        <v>463.512142857143</v>
      </c>
      <c r="J227" s="15" t="s">
        <v>171</v>
      </c>
      <c r="K227" s="15" t="s">
        <v>172</v>
      </c>
    </row>
    <row r="228" customFormat="false" ht="18.75" hidden="false" customHeight="true" outlineLevel="0" collapsed="false">
      <c r="A228" s="10" t="s">
        <v>593</v>
      </c>
      <c r="B228" s="10" t="s">
        <v>594</v>
      </c>
      <c r="C228" s="10" t="s">
        <v>163</v>
      </c>
      <c r="D228" s="10" t="s">
        <v>36</v>
      </c>
      <c r="E228" s="10" t="s">
        <v>284</v>
      </c>
      <c r="F228" s="11" t="n">
        <v>12</v>
      </c>
      <c r="G228" s="11" t="n">
        <v>16</v>
      </c>
      <c r="H228" s="26" t="n">
        <v>6471.33</v>
      </c>
      <c r="I228" s="26" t="n">
        <f aca="false">H228/G228</f>
        <v>404.458125</v>
      </c>
      <c r="J228" s="10" t="s">
        <v>142</v>
      </c>
      <c r="K228" s="10" t="s">
        <v>143</v>
      </c>
    </row>
    <row r="229" customFormat="false" ht="18.75" hidden="false" customHeight="true" outlineLevel="0" collapsed="false">
      <c r="A229" s="15" t="s">
        <v>595</v>
      </c>
      <c r="B229" s="15" t="s">
        <v>288</v>
      </c>
      <c r="C229" s="15" t="s">
        <v>140</v>
      </c>
      <c r="D229" s="15" t="s">
        <v>35</v>
      </c>
      <c r="E229" s="15" t="s">
        <v>284</v>
      </c>
      <c r="F229" s="16" t="n">
        <v>3</v>
      </c>
      <c r="G229" s="16" t="n">
        <v>14</v>
      </c>
      <c r="H229" s="29" t="n">
        <v>6447.29</v>
      </c>
      <c r="I229" s="29" t="n">
        <f aca="false">H229/G229</f>
        <v>460.520714285714</v>
      </c>
      <c r="J229" s="15" t="s">
        <v>142</v>
      </c>
      <c r="K229" s="15" t="s">
        <v>143</v>
      </c>
    </row>
    <row r="230" customFormat="false" ht="18.75" hidden="false" customHeight="true" outlineLevel="0" collapsed="false">
      <c r="A230" s="10" t="s">
        <v>596</v>
      </c>
      <c r="B230" s="10" t="s">
        <v>597</v>
      </c>
      <c r="C230" s="10" t="s">
        <v>219</v>
      </c>
      <c r="D230" s="10" t="s">
        <v>35</v>
      </c>
      <c r="E230" s="10" t="s">
        <v>284</v>
      </c>
      <c r="F230" s="11" t="n">
        <v>28</v>
      </c>
      <c r="G230" s="11" t="n">
        <v>10</v>
      </c>
      <c r="H230" s="26" t="n">
        <v>6419.95</v>
      </c>
      <c r="I230" s="26" t="n">
        <f aca="false">H230/G230</f>
        <v>641.995</v>
      </c>
      <c r="J230" s="10" t="s">
        <v>171</v>
      </c>
      <c r="K230" s="10" t="s">
        <v>172</v>
      </c>
    </row>
    <row r="231" customFormat="false" ht="18.75" hidden="false" customHeight="true" outlineLevel="0" collapsed="false">
      <c r="A231" s="15" t="s">
        <v>598</v>
      </c>
      <c r="B231" s="15" t="s">
        <v>599</v>
      </c>
      <c r="C231" s="15" t="s">
        <v>149</v>
      </c>
      <c r="D231" s="15" t="s">
        <v>35</v>
      </c>
      <c r="E231" s="15" t="s">
        <v>284</v>
      </c>
      <c r="F231" s="16" t="n">
        <v>39</v>
      </c>
      <c r="G231" s="16" t="n">
        <v>12</v>
      </c>
      <c r="H231" s="29" t="n">
        <v>6371.63</v>
      </c>
      <c r="I231" s="29" t="n">
        <f aca="false">H231/G231</f>
        <v>530.969166666667</v>
      </c>
      <c r="J231" s="15" t="s">
        <v>171</v>
      </c>
      <c r="K231" s="15" t="s">
        <v>172</v>
      </c>
    </row>
    <row r="232" customFormat="false" ht="18.75" hidden="false" customHeight="true" outlineLevel="0" collapsed="false">
      <c r="A232" s="10" t="s">
        <v>600</v>
      </c>
      <c r="B232" s="10" t="s">
        <v>601</v>
      </c>
      <c r="C232" s="10" t="s">
        <v>149</v>
      </c>
      <c r="D232" s="10" t="s">
        <v>35</v>
      </c>
      <c r="E232" s="10" t="s">
        <v>284</v>
      </c>
      <c r="F232" s="11" t="n">
        <v>29</v>
      </c>
      <c r="G232" s="11" t="n">
        <v>10</v>
      </c>
      <c r="H232" s="26" t="n">
        <v>6365.65</v>
      </c>
      <c r="I232" s="26" t="n">
        <f aca="false">H232/G232</f>
        <v>636.565</v>
      </c>
      <c r="J232" s="10" t="s">
        <v>171</v>
      </c>
      <c r="K232" s="10" t="s">
        <v>172</v>
      </c>
    </row>
    <row r="233" customFormat="false" ht="18.75" hidden="false" customHeight="true" outlineLevel="0" collapsed="false">
      <c r="A233" s="15" t="s">
        <v>602</v>
      </c>
      <c r="B233" s="15" t="s">
        <v>603</v>
      </c>
      <c r="C233" s="15" t="s">
        <v>199</v>
      </c>
      <c r="D233" s="15" t="s">
        <v>36</v>
      </c>
      <c r="E233" s="15" t="s">
        <v>141</v>
      </c>
      <c r="F233" s="16" t="n">
        <v>50</v>
      </c>
      <c r="G233" s="16" t="n">
        <v>3</v>
      </c>
      <c r="H233" s="29" t="n">
        <v>6349.84</v>
      </c>
      <c r="I233" s="29" t="n">
        <f aca="false">H233/G233</f>
        <v>2116.61333333333</v>
      </c>
      <c r="J233" s="15" t="s">
        <v>253</v>
      </c>
      <c r="K233" s="15" t="s">
        <v>254</v>
      </c>
    </row>
    <row r="234" customFormat="false" ht="18.75" hidden="false" customHeight="true" outlineLevel="0" collapsed="false">
      <c r="A234" s="10" t="s">
        <v>604</v>
      </c>
      <c r="B234" s="10" t="s">
        <v>601</v>
      </c>
      <c r="C234" s="10" t="s">
        <v>140</v>
      </c>
      <c r="D234" s="10" t="s">
        <v>35</v>
      </c>
      <c r="E234" s="10" t="s">
        <v>284</v>
      </c>
      <c r="F234" s="11" t="n">
        <v>40</v>
      </c>
      <c r="G234" s="11" t="n">
        <v>12</v>
      </c>
      <c r="H234" s="26" t="n">
        <v>6332.92</v>
      </c>
      <c r="I234" s="26" t="n">
        <f aca="false">H234/G234</f>
        <v>527.743333333333</v>
      </c>
      <c r="J234" s="10" t="s">
        <v>171</v>
      </c>
      <c r="K234" s="10" t="s">
        <v>172</v>
      </c>
    </row>
    <row r="235" customFormat="false" ht="18.75" hidden="false" customHeight="true" outlineLevel="0" collapsed="false">
      <c r="A235" s="15" t="s">
        <v>605</v>
      </c>
      <c r="B235" s="15" t="s">
        <v>606</v>
      </c>
      <c r="C235" s="15" t="s">
        <v>184</v>
      </c>
      <c r="D235" s="15" t="s">
        <v>34</v>
      </c>
      <c r="E235" s="15" t="s">
        <v>284</v>
      </c>
      <c r="F235" s="16" t="n">
        <v>23</v>
      </c>
      <c r="G235" s="16" t="n">
        <v>15</v>
      </c>
      <c r="H235" s="29" t="n">
        <v>6262.62</v>
      </c>
      <c r="I235" s="29" t="n">
        <f aca="false">H235/G235</f>
        <v>417.508</v>
      </c>
      <c r="J235" s="15" t="s">
        <v>142</v>
      </c>
      <c r="K235" s="15" t="s">
        <v>143</v>
      </c>
    </row>
    <row r="236" customFormat="false" ht="18.75" hidden="false" customHeight="true" outlineLevel="0" collapsed="false">
      <c r="A236" s="10" t="s">
        <v>607</v>
      </c>
      <c r="B236" s="10" t="s">
        <v>608</v>
      </c>
      <c r="C236" s="10" t="s">
        <v>146</v>
      </c>
      <c r="D236" s="10" t="s">
        <v>34</v>
      </c>
      <c r="E236" s="10" t="s">
        <v>284</v>
      </c>
      <c r="F236" s="11" t="n">
        <v>51</v>
      </c>
      <c r="G236" s="11" t="n">
        <v>13</v>
      </c>
      <c r="H236" s="26" t="n">
        <v>6242.01</v>
      </c>
      <c r="I236" s="26" t="n">
        <f aca="false">H236/G236</f>
        <v>480.154615384615</v>
      </c>
      <c r="J236" s="10" t="s">
        <v>189</v>
      </c>
      <c r="K236" s="10" t="s">
        <v>190</v>
      </c>
    </row>
    <row r="237" customFormat="false" ht="18.75" hidden="false" customHeight="true" outlineLevel="0" collapsed="false">
      <c r="A237" s="15" t="s">
        <v>609</v>
      </c>
      <c r="B237" s="15" t="s">
        <v>610</v>
      </c>
      <c r="C237" s="15" t="s">
        <v>163</v>
      </c>
      <c r="D237" s="15" t="s">
        <v>36</v>
      </c>
      <c r="E237" s="15" t="s">
        <v>284</v>
      </c>
      <c r="F237" s="16" t="n">
        <v>27</v>
      </c>
      <c r="G237" s="16" t="n">
        <v>16</v>
      </c>
      <c r="H237" s="29" t="n">
        <v>6238.72</v>
      </c>
      <c r="I237" s="29" t="n">
        <f aca="false">H237/G237</f>
        <v>389.92</v>
      </c>
      <c r="J237" s="15" t="s">
        <v>171</v>
      </c>
      <c r="K237" s="15" t="s">
        <v>172</v>
      </c>
    </row>
    <row r="238" customFormat="false" ht="18.75" hidden="false" customHeight="true" outlineLevel="0" collapsed="false">
      <c r="A238" s="10" t="s">
        <v>611</v>
      </c>
      <c r="B238" s="10" t="s">
        <v>612</v>
      </c>
      <c r="C238" s="10" t="s">
        <v>216</v>
      </c>
      <c r="D238" s="10" t="s">
        <v>34</v>
      </c>
      <c r="E238" s="10" t="s">
        <v>284</v>
      </c>
      <c r="F238" s="11" t="n">
        <v>126</v>
      </c>
      <c r="G238" s="11" t="n">
        <v>10</v>
      </c>
      <c r="H238" s="26" t="n">
        <v>6237.88</v>
      </c>
      <c r="I238" s="26" t="n">
        <f aca="false">H238/G238</f>
        <v>623.788</v>
      </c>
      <c r="J238" s="10" t="s">
        <v>268</v>
      </c>
      <c r="K238" s="10" t="s">
        <v>269</v>
      </c>
    </row>
    <row r="239" customFormat="false" ht="18.75" hidden="false" customHeight="true" outlineLevel="0" collapsed="false">
      <c r="A239" s="15" t="s">
        <v>613</v>
      </c>
      <c r="B239" s="15" t="s">
        <v>614</v>
      </c>
      <c r="C239" s="15" t="s">
        <v>207</v>
      </c>
      <c r="D239" s="15" t="s">
        <v>35</v>
      </c>
      <c r="E239" s="15" t="s">
        <v>284</v>
      </c>
      <c r="F239" s="16" t="n">
        <v>20</v>
      </c>
      <c r="G239" s="16" t="n">
        <v>11</v>
      </c>
      <c r="H239" s="29" t="n">
        <v>6222.81</v>
      </c>
      <c r="I239" s="29" t="n">
        <f aca="false">H239/G239</f>
        <v>565.71</v>
      </c>
      <c r="J239" s="15" t="s">
        <v>142</v>
      </c>
      <c r="K239" s="15" t="s">
        <v>143</v>
      </c>
    </row>
    <row r="240" customFormat="false" ht="18.75" hidden="false" customHeight="true" outlineLevel="0" collapsed="false">
      <c r="A240" s="10" t="s">
        <v>615</v>
      </c>
      <c r="B240" s="10" t="s">
        <v>435</v>
      </c>
      <c r="C240" s="10" t="s">
        <v>163</v>
      </c>
      <c r="D240" s="10" t="s">
        <v>36</v>
      </c>
      <c r="E240" s="10" t="s">
        <v>284</v>
      </c>
      <c r="F240" s="11" t="n">
        <v>2</v>
      </c>
      <c r="G240" s="11" t="n">
        <v>14</v>
      </c>
      <c r="H240" s="26" t="n">
        <v>6217.26</v>
      </c>
      <c r="I240" s="26" t="n">
        <f aca="false">H240/G240</f>
        <v>444.09</v>
      </c>
      <c r="J240" s="10" t="s">
        <v>142</v>
      </c>
      <c r="K240" s="10" t="s">
        <v>143</v>
      </c>
    </row>
    <row r="241" customFormat="false" ht="18.75" hidden="false" customHeight="true" outlineLevel="0" collapsed="false">
      <c r="A241" s="15" t="s">
        <v>616</v>
      </c>
      <c r="B241" s="15" t="s">
        <v>617</v>
      </c>
      <c r="C241" s="15" t="s">
        <v>216</v>
      </c>
      <c r="D241" s="15" t="s">
        <v>34</v>
      </c>
      <c r="E241" s="15" t="s">
        <v>284</v>
      </c>
      <c r="F241" s="16" t="n">
        <v>28</v>
      </c>
      <c r="G241" s="16" t="n">
        <v>20</v>
      </c>
      <c r="H241" s="29" t="n">
        <v>6215.63</v>
      </c>
      <c r="I241" s="29" t="n">
        <f aca="false">H241/G241</f>
        <v>310.7815</v>
      </c>
      <c r="J241" s="15" t="s">
        <v>171</v>
      </c>
      <c r="K241" s="15" t="s">
        <v>172</v>
      </c>
    </row>
    <row r="242" customFormat="false" ht="18.75" hidden="false" customHeight="true" outlineLevel="0" collapsed="false">
      <c r="A242" s="10" t="s">
        <v>618</v>
      </c>
      <c r="B242" s="10" t="s">
        <v>334</v>
      </c>
      <c r="C242" s="10" t="s">
        <v>181</v>
      </c>
      <c r="D242" s="10" t="s">
        <v>36</v>
      </c>
      <c r="E242" s="10" t="s">
        <v>284</v>
      </c>
      <c r="F242" s="11" t="n">
        <v>20</v>
      </c>
      <c r="G242" s="11" t="n">
        <v>12</v>
      </c>
      <c r="H242" s="26" t="n">
        <v>6192.88</v>
      </c>
      <c r="I242" s="26" t="n">
        <f aca="false">H242/G242</f>
        <v>516.073333333333</v>
      </c>
      <c r="J242" s="10" t="s">
        <v>142</v>
      </c>
      <c r="K242" s="10" t="s">
        <v>143</v>
      </c>
    </row>
    <row r="243" customFormat="false" ht="18.75" hidden="false" customHeight="true" outlineLevel="0" collapsed="false">
      <c r="A243" s="15" t="s">
        <v>619</v>
      </c>
      <c r="B243" s="15" t="s">
        <v>620</v>
      </c>
      <c r="C243" s="15" t="s">
        <v>160</v>
      </c>
      <c r="D243" s="15" t="s">
        <v>36</v>
      </c>
      <c r="E243" s="15" t="s">
        <v>284</v>
      </c>
      <c r="F243" s="16" t="n">
        <v>9</v>
      </c>
      <c r="G243" s="16" t="n">
        <v>9</v>
      </c>
      <c r="H243" s="29" t="n">
        <v>6124.16</v>
      </c>
      <c r="I243" s="29" t="n">
        <f aca="false">H243/G243</f>
        <v>680.462222222222</v>
      </c>
      <c r="J243" s="15" t="s">
        <v>142</v>
      </c>
      <c r="K243" s="15" t="s">
        <v>143</v>
      </c>
    </row>
    <row r="244" customFormat="false" ht="18.75" hidden="false" customHeight="true" outlineLevel="0" collapsed="false">
      <c r="A244" s="10" t="s">
        <v>621</v>
      </c>
      <c r="B244" s="10" t="s">
        <v>622</v>
      </c>
      <c r="C244" s="10" t="s">
        <v>207</v>
      </c>
      <c r="D244" s="10" t="s">
        <v>35</v>
      </c>
      <c r="E244" s="10" t="s">
        <v>284</v>
      </c>
      <c r="F244" s="11" t="n">
        <v>19</v>
      </c>
      <c r="G244" s="11" t="n">
        <v>11</v>
      </c>
      <c r="H244" s="26" t="n">
        <v>6056.29</v>
      </c>
      <c r="I244" s="26" t="n">
        <f aca="false">H244/G244</f>
        <v>550.571818181818</v>
      </c>
      <c r="J244" s="10" t="s">
        <v>142</v>
      </c>
      <c r="K244" s="10" t="s">
        <v>143</v>
      </c>
    </row>
    <row r="245" customFormat="false" ht="18.75" hidden="false" customHeight="true" outlineLevel="0" collapsed="false">
      <c r="A245" s="15" t="s">
        <v>623</v>
      </c>
      <c r="B245" s="15" t="s">
        <v>624</v>
      </c>
      <c r="C245" s="15" t="s">
        <v>140</v>
      </c>
      <c r="D245" s="15" t="s">
        <v>35</v>
      </c>
      <c r="E245" s="15" t="s">
        <v>284</v>
      </c>
      <c r="F245" s="16" t="n">
        <v>60</v>
      </c>
      <c r="G245" s="16" t="n">
        <v>12</v>
      </c>
      <c r="H245" s="29" t="n">
        <v>6048.41</v>
      </c>
      <c r="I245" s="29" t="n">
        <f aca="false">H245/G245</f>
        <v>504.034166666667</v>
      </c>
      <c r="J245" s="15" t="s">
        <v>189</v>
      </c>
      <c r="K245" s="15" t="s">
        <v>190</v>
      </c>
    </row>
    <row r="246" customFormat="false" ht="18.75" hidden="false" customHeight="true" outlineLevel="0" collapsed="false">
      <c r="A246" s="10" t="s">
        <v>625</v>
      </c>
      <c r="B246" s="10" t="s">
        <v>310</v>
      </c>
      <c r="C246" s="10" t="s">
        <v>181</v>
      </c>
      <c r="D246" s="10" t="s">
        <v>36</v>
      </c>
      <c r="E246" s="10" t="s">
        <v>284</v>
      </c>
      <c r="F246" s="11" t="n">
        <v>72</v>
      </c>
      <c r="G246" s="11" t="n">
        <v>10</v>
      </c>
      <c r="H246" s="26" t="n">
        <v>6038.7</v>
      </c>
      <c r="I246" s="26" t="n">
        <f aca="false">H246/G246</f>
        <v>603.87</v>
      </c>
      <c r="J246" s="10" t="s">
        <v>189</v>
      </c>
      <c r="K246" s="10" t="s">
        <v>190</v>
      </c>
    </row>
    <row r="247" customFormat="false" ht="18.75" hidden="false" customHeight="true" outlineLevel="0" collapsed="false">
      <c r="A247" s="15" t="s">
        <v>626</v>
      </c>
      <c r="B247" s="15" t="s">
        <v>627</v>
      </c>
      <c r="C247" s="15" t="s">
        <v>184</v>
      </c>
      <c r="D247" s="15" t="s">
        <v>34</v>
      </c>
      <c r="E247" s="15" t="s">
        <v>284</v>
      </c>
      <c r="F247" s="16" t="n">
        <v>33</v>
      </c>
      <c r="G247" s="16" t="n">
        <v>11</v>
      </c>
      <c r="H247" s="29" t="n">
        <v>6013.14</v>
      </c>
      <c r="I247" s="29" t="n">
        <f aca="false">H247/G247</f>
        <v>546.649090909091</v>
      </c>
      <c r="J247" s="15" t="s">
        <v>171</v>
      </c>
      <c r="K247" s="15" t="s">
        <v>172</v>
      </c>
    </row>
    <row r="248" customFormat="false" ht="18.75" hidden="false" customHeight="true" outlineLevel="0" collapsed="false">
      <c r="A248" s="10" t="s">
        <v>628</v>
      </c>
      <c r="B248" s="10" t="s">
        <v>629</v>
      </c>
      <c r="C248" s="10" t="s">
        <v>166</v>
      </c>
      <c r="D248" s="10" t="s">
        <v>35</v>
      </c>
      <c r="E248" s="10" t="s">
        <v>284</v>
      </c>
      <c r="F248" s="11" t="n">
        <v>2</v>
      </c>
      <c r="G248" s="11" t="n">
        <v>10</v>
      </c>
      <c r="H248" s="26" t="n">
        <v>5989.47</v>
      </c>
      <c r="I248" s="26" t="n">
        <f aca="false">H248/G248</f>
        <v>598.947</v>
      </c>
      <c r="J248" s="10" t="s">
        <v>142</v>
      </c>
      <c r="K248" s="10" t="s">
        <v>143</v>
      </c>
    </row>
    <row r="249" customFormat="false" ht="18.75" hidden="false" customHeight="true" outlineLevel="0" collapsed="false">
      <c r="A249" s="15" t="s">
        <v>630</v>
      </c>
      <c r="B249" s="15" t="s">
        <v>631</v>
      </c>
      <c r="C249" s="15" t="s">
        <v>146</v>
      </c>
      <c r="D249" s="15" t="s">
        <v>34</v>
      </c>
      <c r="E249" s="15" t="s">
        <v>284</v>
      </c>
      <c r="F249" s="16" t="n">
        <v>20</v>
      </c>
      <c r="G249" s="16" t="n">
        <v>10</v>
      </c>
      <c r="H249" s="29" t="n">
        <v>5985.44</v>
      </c>
      <c r="I249" s="29" t="n">
        <f aca="false">H249/G249</f>
        <v>598.544</v>
      </c>
      <c r="J249" s="15" t="s">
        <v>142</v>
      </c>
      <c r="K249" s="15" t="s">
        <v>143</v>
      </c>
    </row>
    <row r="250" customFormat="false" ht="18.75" hidden="false" customHeight="true" outlineLevel="0" collapsed="false">
      <c r="A250" s="10" t="s">
        <v>632</v>
      </c>
      <c r="B250" s="10" t="s">
        <v>633</v>
      </c>
      <c r="C250" s="10" t="s">
        <v>166</v>
      </c>
      <c r="D250" s="10" t="s">
        <v>35</v>
      </c>
      <c r="E250" s="10" t="s">
        <v>284</v>
      </c>
      <c r="F250" s="11" t="n">
        <v>98</v>
      </c>
      <c r="G250" s="11" t="n">
        <v>8</v>
      </c>
      <c r="H250" s="26" t="n">
        <v>5931.56</v>
      </c>
      <c r="I250" s="26" t="n">
        <f aca="false">H250/G250</f>
        <v>741.445</v>
      </c>
      <c r="J250" s="10" t="s">
        <v>189</v>
      </c>
      <c r="K250" s="10" t="s">
        <v>190</v>
      </c>
    </row>
    <row r="251" customFormat="false" ht="18.75" hidden="false" customHeight="true" outlineLevel="0" collapsed="false">
      <c r="A251" s="15" t="s">
        <v>634</v>
      </c>
      <c r="B251" s="15" t="s">
        <v>617</v>
      </c>
      <c r="C251" s="15" t="s">
        <v>140</v>
      </c>
      <c r="D251" s="15" t="s">
        <v>35</v>
      </c>
      <c r="E251" s="15" t="s">
        <v>284</v>
      </c>
      <c r="F251" s="16" t="n">
        <v>13</v>
      </c>
      <c r="G251" s="16" t="n">
        <v>11</v>
      </c>
      <c r="H251" s="29" t="n">
        <v>5926.72</v>
      </c>
      <c r="I251" s="29" t="n">
        <f aca="false">H251/G251</f>
        <v>538.792727272727</v>
      </c>
      <c r="J251" s="15" t="s">
        <v>142</v>
      </c>
      <c r="K251" s="15" t="s">
        <v>143</v>
      </c>
    </row>
    <row r="252" customFormat="false" ht="18.75" hidden="false" customHeight="true" outlineLevel="0" collapsed="false">
      <c r="A252" s="10" t="s">
        <v>635</v>
      </c>
      <c r="B252" s="10" t="s">
        <v>636</v>
      </c>
      <c r="C252" s="10" t="s">
        <v>146</v>
      </c>
      <c r="D252" s="10" t="s">
        <v>34</v>
      </c>
      <c r="E252" s="10" t="s">
        <v>141</v>
      </c>
      <c r="F252" s="11" t="n">
        <v>196</v>
      </c>
      <c r="G252" s="11" t="n">
        <v>3</v>
      </c>
      <c r="H252" s="26" t="n">
        <v>5912.84</v>
      </c>
      <c r="I252" s="26" t="n">
        <f aca="false">H252/G252</f>
        <v>1970.94666666667</v>
      </c>
      <c r="J252" s="10" t="s">
        <v>253</v>
      </c>
      <c r="K252" s="10" t="s">
        <v>254</v>
      </c>
    </row>
    <row r="253" customFormat="false" ht="18.75" hidden="false" customHeight="true" outlineLevel="0" collapsed="false">
      <c r="A253" s="15" t="s">
        <v>637</v>
      </c>
      <c r="B253" s="15" t="s">
        <v>567</v>
      </c>
      <c r="C253" s="15" t="s">
        <v>163</v>
      </c>
      <c r="D253" s="15" t="s">
        <v>36</v>
      </c>
      <c r="E253" s="15" t="s">
        <v>141</v>
      </c>
      <c r="F253" s="16" t="n">
        <v>140</v>
      </c>
      <c r="G253" s="16" t="n">
        <v>2</v>
      </c>
      <c r="H253" s="29" t="n">
        <v>5903.64</v>
      </c>
      <c r="I253" s="29" t="n">
        <f aca="false">H253/G253</f>
        <v>2951.82</v>
      </c>
      <c r="J253" s="15" t="s">
        <v>253</v>
      </c>
      <c r="K253" s="15" t="s">
        <v>254</v>
      </c>
    </row>
    <row r="254" customFormat="false" ht="18.75" hidden="false" customHeight="true" outlineLevel="0" collapsed="false">
      <c r="A254" s="10" t="s">
        <v>638</v>
      </c>
      <c r="B254" s="10" t="s">
        <v>639</v>
      </c>
      <c r="C254" s="10" t="s">
        <v>184</v>
      </c>
      <c r="D254" s="10" t="s">
        <v>34</v>
      </c>
      <c r="E254" s="10" t="s">
        <v>284</v>
      </c>
      <c r="F254" s="11" t="n">
        <v>0</v>
      </c>
      <c r="G254" s="11" t="n">
        <v>8</v>
      </c>
      <c r="H254" s="26" t="n">
        <v>5881.22</v>
      </c>
      <c r="I254" s="26" t="n">
        <f aca="false">H254/G254</f>
        <v>735.1525</v>
      </c>
      <c r="J254" s="10" t="s">
        <v>142</v>
      </c>
      <c r="K254" s="10" t="s">
        <v>143</v>
      </c>
    </row>
    <row r="255" customFormat="false" ht="18.75" hidden="false" customHeight="true" outlineLevel="0" collapsed="false">
      <c r="A255" s="15" t="s">
        <v>640</v>
      </c>
      <c r="B255" s="15" t="s">
        <v>641</v>
      </c>
      <c r="C255" s="15" t="s">
        <v>184</v>
      </c>
      <c r="D255" s="15" t="s">
        <v>34</v>
      </c>
      <c r="E255" s="15" t="s">
        <v>284</v>
      </c>
      <c r="F255" s="16" t="n">
        <v>14</v>
      </c>
      <c r="G255" s="16" t="n">
        <v>19</v>
      </c>
      <c r="H255" s="29" t="n">
        <v>5846.67</v>
      </c>
      <c r="I255" s="29" t="n">
        <f aca="false">H255/G255</f>
        <v>307.719473684211</v>
      </c>
      <c r="J255" s="15" t="s">
        <v>142</v>
      </c>
      <c r="K255" s="15" t="s">
        <v>143</v>
      </c>
    </row>
    <row r="256" customFormat="false" ht="18.75" hidden="false" customHeight="true" outlineLevel="0" collapsed="false">
      <c r="A256" s="10" t="s">
        <v>642</v>
      </c>
      <c r="B256" s="10" t="s">
        <v>643</v>
      </c>
      <c r="C256" s="10" t="s">
        <v>166</v>
      </c>
      <c r="D256" s="10" t="s">
        <v>35</v>
      </c>
      <c r="E256" s="10" t="s">
        <v>284</v>
      </c>
      <c r="F256" s="11" t="n">
        <v>20</v>
      </c>
      <c r="G256" s="11" t="n">
        <v>12</v>
      </c>
      <c r="H256" s="26" t="n">
        <v>5797.06</v>
      </c>
      <c r="I256" s="26" t="n">
        <f aca="false">H256/G256</f>
        <v>483.088333333333</v>
      </c>
      <c r="J256" s="10" t="s">
        <v>142</v>
      </c>
      <c r="K256" s="10" t="s">
        <v>143</v>
      </c>
    </row>
    <row r="257" customFormat="false" ht="18.75" hidden="false" customHeight="true" outlineLevel="0" collapsed="false">
      <c r="A257" s="15" t="s">
        <v>644</v>
      </c>
      <c r="B257" s="15" t="s">
        <v>246</v>
      </c>
      <c r="C257" s="15" t="s">
        <v>184</v>
      </c>
      <c r="D257" s="15" t="s">
        <v>34</v>
      </c>
      <c r="E257" s="15" t="s">
        <v>284</v>
      </c>
      <c r="F257" s="16" t="n">
        <v>33</v>
      </c>
      <c r="G257" s="16" t="n">
        <v>19</v>
      </c>
      <c r="H257" s="29" t="n">
        <v>5774.52</v>
      </c>
      <c r="I257" s="29" t="n">
        <f aca="false">H257/G257</f>
        <v>303.922105263158</v>
      </c>
      <c r="J257" s="15" t="s">
        <v>171</v>
      </c>
      <c r="K257" s="15" t="s">
        <v>172</v>
      </c>
    </row>
    <row r="258" customFormat="false" ht="18.75" hidden="false" customHeight="true" outlineLevel="0" collapsed="false">
      <c r="A258" s="10" t="s">
        <v>645</v>
      </c>
      <c r="B258" s="10" t="s">
        <v>646</v>
      </c>
      <c r="C258" s="10" t="s">
        <v>146</v>
      </c>
      <c r="D258" s="10" t="s">
        <v>34</v>
      </c>
      <c r="E258" s="10" t="s">
        <v>284</v>
      </c>
      <c r="F258" s="11" t="n">
        <v>22</v>
      </c>
      <c r="G258" s="11" t="n">
        <v>19</v>
      </c>
      <c r="H258" s="26" t="n">
        <v>5752.93</v>
      </c>
      <c r="I258" s="26" t="n">
        <f aca="false">H258/G258</f>
        <v>302.785789473684</v>
      </c>
      <c r="J258" s="10" t="s">
        <v>142</v>
      </c>
      <c r="K258" s="10" t="s">
        <v>143</v>
      </c>
    </row>
    <row r="259" customFormat="false" ht="18.75" hidden="false" customHeight="true" outlineLevel="0" collapsed="false">
      <c r="A259" s="15" t="s">
        <v>647</v>
      </c>
      <c r="B259" s="15" t="s">
        <v>648</v>
      </c>
      <c r="C259" s="15" t="s">
        <v>199</v>
      </c>
      <c r="D259" s="15" t="s">
        <v>36</v>
      </c>
      <c r="E259" s="15" t="s">
        <v>384</v>
      </c>
      <c r="F259" s="16" t="n">
        <v>0</v>
      </c>
      <c r="G259" s="16" t="n">
        <v>16</v>
      </c>
      <c r="H259" s="29" t="n">
        <v>5733.5</v>
      </c>
      <c r="I259" s="29" t="n">
        <f aca="false">H259/G259</f>
        <v>358.34375</v>
      </c>
      <c r="J259" s="15" t="s">
        <v>142</v>
      </c>
      <c r="K259" s="15" t="s">
        <v>143</v>
      </c>
    </row>
    <row r="260" customFormat="false" ht="18.75" hidden="false" customHeight="true" outlineLevel="0" collapsed="false">
      <c r="A260" s="10" t="s">
        <v>649</v>
      </c>
      <c r="B260" s="10" t="s">
        <v>650</v>
      </c>
      <c r="C260" s="10" t="s">
        <v>163</v>
      </c>
      <c r="D260" s="10" t="s">
        <v>36</v>
      </c>
      <c r="E260" s="10" t="s">
        <v>284</v>
      </c>
      <c r="F260" s="11" t="n">
        <v>17</v>
      </c>
      <c r="G260" s="11" t="n">
        <v>18</v>
      </c>
      <c r="H260" s="26" t="n">
        <v>5689.5</v>
      </c>
      <c r="I260" s="26" t="n">
        <f aca="false">H260/G260</f>
        <v>316.083333333333</v>
      </c>
      <c r="J260" s="10" t="s">
        <v>142</v>
      </c>
      <c r="K260" s="10" t="s">
        <v>143</v>
      </c>
    </row>
    <row r="261" customFormat="false" ht="18.75" hidden="false" customHeight="true" outlineLevel="0" collapsed="false">
      <c r="A261" s="15" t="s">
        <v>651</v>
      </c>
      <c r="B261" s="15" t="s">
        <v>652</v>
      </c>
      <c r="C261" s="15" t="s">
        <v>207</v>
      </c>
      <c r="D261" s="15" t="s">
        <v>35</v>
      </c>
      <c r="E261" s="15" t="s">
        <v>284</v>
      </c>
      <c r="F261" s="16" t="n">
        <v>1</v>
      </c>
      <c r="G261" s="16" t="n">
        <v>11</v>
      </c>
      <c r="H261" s="29" t="n">
        <v>5677.09</v>
      </c>
      <c r="I261" s="29" t="n">
        <f aca="false">H261/G261</f>
        <v>516.099090909091</v>
      </c>
      <c r="J261" s="15" t="s">
        <v>142</v>
      </c>
      <c r="K261" s="15" t="s">
        <v>143</v>
      </c>
    </row>
    <row r="262" customFormat="false" ht="18.75" hidden="false" customHeight="true" outlineLevel="0" collapsed="false">
      <c r="A262" s="10" t="s">
        <v>653</v>
      </c>
      <c r="B262" s="10" t="s">
        <v>654</v>
      </c>
      <c r="C262" s="10" t="s">
        <v>149</v>
      </c>
      <c r="D262" s="10" t="s">
        <v>35</v>
      </c>
      <c r="E262" s="10" t="s">
        <v>284</v>
      </c>
      <c r="F262" s="11" t="n">
        <v>40</v>
      </c>
      <c r="G262" s="11" t="n">
        <v>12</v>
      </c>
      <c r="H262" s="26" t="n">
        <v>5672.33</v>
      </c>
      <c r="I262" s="26" t="n">
        <f aca="false">H262/G262</f>
        <v>472.694166666667</v>
      </c>
      <c r="J262" s="10" t="s">
        <v>171</v>
      </c>
      <c r="K262" s="10" t="s">
        <v>172</v>
      </c>
    </row>
    <row r="263" customFormat="false" ht="18.75" hidden="false" customHeight="true" outlineLevel="0" collapsed="false">
      <c r="A263" s="15" t="s">
        <v>655</v>
      </c>
      <c r="B263" s="15" t="s">
        <v>656</v>
      </c>
      <c r="C263" s="15" t="s">
        <v>166</v>
      </c>
      <c r="D263" s="15" t="s">
        <v>35</v>
      </c>
      <c r="E263" s="15" t="s">
        <v>141</v>
      </c>
      <c r="F263" s="16" t="n">
        <v>117</v>
      </c>
      <c r="G263" s="16" t="n">
        <v>1</v>
      </c>
      <c r="H263" s="29" t="n">
        <v>5660.76</v>
      </c>
      <c r="I263" s="29" t="n">
        <f aca="false">H263/G263</f>
        <v>5660.76</v>
      </c>
      <c r="J263" s="15" t="s">
        <v>253</v>
      </c>
      <c r="K263" s="15" t="s">
        <v>254</v>
      </c>
    </row>
    <row r="264" customFormat="false" ht="18.75" hidden="false" customHeight="true" outlineLevel="0" collapsed="false">
      <c r="A264" s="10" t="s">
        <v>657</v>
      </c>
      <c r="B264" s="10" t="s">
        <v>658</v>
      </c>
      <c r="C264" s="10" t="s">
        <v>146</v>
      </c>
      <c r="D264" s="10" t="s">
        <v>34</v>
      </c>
      <c r="E264" s="10" t="s">
        <v>284</v>
      </c>
      <c r="F264" s="11" t="n">
        <v>30</v>
      </c>
      <c r="G264" s="11" t="n">
        <v>11</v>
      </c>
      <c r="H264" s="26" t="n">
        <v>5641.2</v>
      </c>
      <c r="I264" s="26" t="n">
        <f aca="false">H264/G264</f>
        <v>512.836363636364</v>
      </c>
      <c r="J264" s="10" t="s">
        <v>171</v>
      </c>
      <c r="K264" s="10" t="s">
        <v>172</v>
      </c>
    </row>
    <row r="265" customFormat="false" ht="18.75" hidden="false" customHeight="true" outlineLevel="0" collapsed="false">
      <c r="A265" s="15" t="s">
        <v>659</v>
      </c>
      <c r="B265" s="15" t="s">
        <v>660</v>
      </c>
      <c r="C265" s="15" t="s">
        <v>140</v>
      </c>
      <c r="D265" s="15" t="s">
        <v>35</v>
      </c>
      <c r="E265" s="15" t="s">
        <v>284</v>
      </c>
      <c r="F265" s="16" t="n">
        <v>7</v>
      </c>
      <c r="G265" s="16" t="n">
        <v>12</v>
      </c>
      <c r="H265" s="29" t="n">
        <v>5568.29</v>
      </c>
      <c r="I265" s="29" t="n">
        <f aca="false">H265/G265</f>
        <v>464.024166666667</v>
      </c>
      <c r="J265" s="15" t="s">
        <v>142</v>
      </c>
      <c r="K265" s="15" t="s">
        <v>143</v>
      </c>
    </row>
    <row r="266" customFormat="false" ht="18.75" hidden="false" customHeight="true" outlineLevel="0" collapsed="false">
      <c r="A266" s="10" t="s">
        <v>661</v>
      </c>
      <c r="B266" s="10" t="s">
        <v>662</v>
      </c>
      <c r="C266" s="10" t="s">
        <v>184</v>
      </c>
      <c r="D266" s="10" t="s">
        <v>34</v>
      </c>
      <c r="E266" s="10" t="s">
        <v>284</v>
      </c>
      <c r="F266" s="11" t="n">
        <v>26</v>
      </c>
      <c r="G266" s="11" t="n">
        <v>11</v>
      </c>
      <c r="H266" s="26" t="n">
        <v>5564.64</v>
      </c>
      <c r="I266" s="26" t="n">
        <f aca="false">H266/G266</f>
        <v>505.876363636364</v>
      </c>
      <c r="J266" s="10" t="s">
        <v>171</v>
      </c>
      <c r="K266" s="10" t="s">
        <v>172</v>
      </c>
    </row>
    <row r="267" customFormat="false" ht="18.75" hidden="false" customHeight="true" outlineLevel="0" collapsed="false">
      <c r="A267" s="15" t="s">
        <v>663</v>
      </c>
      <c r="B267" s="15" t="s">
        <v>664</v>
      </c>
      <c r="C267" s="15" t="s">
        <v>140</v>
      </c>
      <c r="D267" s="15" t="s">
        <v>35</v>
      </c>
      <c r="E267" s="15" t="s">
        <v>284</v>
      </c>
      <c r="F267" s="16" t="n">
        <v>9</v>
      </c>
      <c r="G267" s="16" t="n">
        <v>13</v>
      </c>
      <c r="H267" s="29" t="n">
        <v>5538.06</v>
      </c>
      <c r="I267" s="29" t="n">
        <f aca="false">H267/G267</f>
        <v>426.004615384615</v>
      </c>
      <c r="J267" s="15" t="s">
        <v>142</v>
      </c>
      <c r="K267" s="15" t="s">
        <v>143</v>
      </c>
    </row>
    <row r="268" customFormat="false" ht="18.75" hidden="false" customHeight="true" outlineLevel="0" collapsed="false">
      <c r="A268" s="10" t="s">
        <v>665</v>
      </c>
      <c r="B268" s="10" t="s">
        <v>666</v>
      </c>
      <c r="C268" s="10" t="s">
        <v>207</v>
      </c>
      <c r="D268" s="10" t="s">
        <v>35</v>
      </c>
      <c r="E268" s="10" t="s">
        <v>284</v>
      </c>
      <c r="F268" s="11" t="n">
        <v>9</v>
      </c>
      <c r="G268" s="11" t="n">
        <v>9</v>
      </c>
      <c r="H268" s="26" t="n">
        <v>5532.86</v>
      </c>
      <c r="I268" s="26" t="n">
        <f aca="false">H268/G268</f>
        <v>614.762222222222</v>
      </c>
      <c r="J268" s="10" t="s">
        <v>142</v>
      </c>
      <c r="K268" s="10" t="s">
        <v>143</v>
      </c>
    </row>
    <row r="269" customFormat="false" ht="18.75" hidden="false" customHeight="true" outlineLevel="0" collapsed="false">
      <c r="A269" s="15" t="s">
        <v>667</v>
      </c>
      <c r="B269" s="15" t="s">
        <v>668</v>
      </c>
      <c r="C269" s="15" t="s">
        <v>152</v>
      </c>
      <c r="D269" s="15" t="s">
        <v>35</v>
      </c>
      <c r="E269" s="15" t="s">
        <v>284</v>
      </c>
      <c r="F269" s="16" t="n">
        <v>38</v>
      </c>
      <c r="G269" s="16" t="n">
        <v>11</v>
      </c>
      <c r="H269" s="29" t="n">
        <v>5477.1</v>
      </c>
      <c r="I269" s="29" t="n">
        <f aca="false">H269/G269</f>
        <v>497.918181818182</v>
      </c>
      <c r="J269" s="15" t="s">
        <v>171</v>
      </c>
      <c r="K269" s="15" t="s">
        <v>172</v>
      </c>
    </row>
    <row r="270" customFormat="false" ht="18.75" hidden="false" customHeight="true" outlineLevel="0" collapsed="false">
      <c r="A270" s="10" t="s">
        <v>669</v>
      </c>
      <c r="B270" s="10" t="s">
        <v>670</v>
      </c>
      <c r="C270" s="10" t="s">
        <v>216</v>
      </c>
      <c r="D270" s="10" t="s">
        <v>34</v>
      </c>
      <c r="E270" s="10" t="s">
        <v>284</v>
      </c>
      <c r="F270" s="11" t="n">
        <v>17</v>
      </c>
      <c r="G270" s="11" t="n">
        <v>10</v>
      </c>
      <c r="H270" s="26" t="n">
        <v>5463.77</v>
      </c>
      <c r="I270" s="26" t="n">
        <f aca="false">H270/G270</f>
        <v>546.377</v>
      </c>
      <c r="J270" s="10" t="s">
        <v>142</v>
      </c>
      <c r="K270" s="10" t="s">
        <v>143</v>
      </c>
    </row>
    <row r="271" customFormat="false" ht="18.75" hidden="false" customHeight="true" outlineLevel="0" collapsed="false">
      <c r="A271" s="15" t="s">
        <v>671</v>
      </c>
      <c r="B271" s="15" t="s">
        <v>672</v>
      </c>
      <c r="C271" s="15" t="s">
        <v>207</v>
      </c>
      <c r="D271" s="15" t="s">
        <v>35</v>
      </c>
      <c r="E271" s="15" t="s">
        <v>284</v>
      </c>
      <c r="F271" s="16" t="n">
        <v>1</v>
      </c>
      <c r="G271" s="16" t="n">
        <v>6</v>
      </c>
      <c r="H271" s="29" t="n">
        <v>5457.78</v>
      </c>
      <c r="I271" s="29" t="n">
        <f aca="false">H271/G271</f>
        <v>909.63</v>
      </c>
      <c r="J271" s="15" t="s">
        <v>171</v>
      </c>
      <c r="K271" s="15" t="s">
        <v>172</v>
      </c>
    </row>
    <row r="272" customFormat="false" ht="18.75" hidden="false" customHeight="true" outlineLevel="0" collapsed="false">
      <c r="A272" s="10" t="s">
        <v>673</v>
      </c>
      <c r="B272" s="10" t="s">
        <v>674</v>
      </c>
      <c r="C272" s="10" t="s">
        <v>226</v>
      </c>
      <c r="D272" s="10" t="s">
        <v>36</v>
      </c>
      <c r="E272" s="10" t="s">
        <v>284</v>
      </c>
      <c r="F272" s="11" t="n">
        <v>1</v>
      </c>
      <c r="G272" s="11" t="n">
        <v>10</v>
      </c>
      <c r="H272" s="26" t="n">
        <v>5452.76</v>
      </c>
      <c r="I272" s="26" t="n">
        <f aca="false">H272/G272</f>
        <v>545.276</v>
      </c>
      <c r="J272" s="10" t="s">
        <v>142</v>
      </c>
      <c r="K272" s="10" t="s">
        <v>143</v>
      </c>
    </row>
    <row r="273" customFormat="false" ht="18.75" hidden="false" customHeight="true" outlineLevel="0" collapsed="false">
      <c r="A273" s="15" t="s">
        <v>675</v>
      </c>
      <c r="B273" s="15" t="s">
        <v>676</v>
      </c>
      <c r="C273" s="15" t="s">
        <v>184</v>
      </c>
      <c r="D273" s="15" t="s">
        <v>34</v>
      </c>
      <c r="E273" s="15" t="s">
        <v>284</v>
      </c>
      <c r="F273" s="16" t="n">
        <v>37</v>
      </c>
      <c r="G273" s="16" t="n">
        <v>12</v>
      </c>
      <c r="H273" s="29" t="n">
        <v>5400.94</v>
      </c>
      <c r="I273" s="29" t="n">
        <f aca="false">H273/G273</f>
        <v>450.078333333333</v>
      </c>
      <c r="J273" s="15" t="s">
        <v>171</v>
      </c>
      <c r="K273" s="15" t="s">
        <v>172</v>
      </c>
    </row>
    <row r="274" customFormat="false" ht="18.75" hidden="false" customHeight="true" outlineLevel="0" collapsed="false">
      <c r="A274" s="10" t="s">
        <v>677</v>
      </c>
      <c r="B274" s="10" t="s">
        <v>470</v>
      </c>
      <c r="C274" s="10" t="s">
        <v>140</v>
      </c>
      <c r="D274" s="10" t="s">
        <v>35</v>
      </c>
      <c r="E274" s="10" t="s">
        <v>284</v>
      </c>
      <c r="F274" s="11" t="n">
        <v>31</v>
      </c>
      <c r="G274" s="11" t="n">
        <v>9</v>
      </c>
      <c r="H274" s="26" t="n">
        <v>5356.25</v>
      </c>
      <c r="I274" s="26" t="n">
        <f aca="false">H274/G274</f>
        <v>595.138888888889</v>
      </c>
      <c r="J274" s="10" t="s">
        <v>171</v>
      </c>
      <c r="K274" s="10" t="s">
        <v>172</v>
      </c>
    </row>
    <row r="275" customFormat="false" ht="18.75" hidden="false" customHeight="true" outlineLevel="0" collapsed="false">
      <c r="A275" s="15" t="s">
        <v>678</v>
      </c>
      <c r="B275" s="15" t="s">
        <v>679</v>
      </c>
      <c r="C275" s="15" t="s">
        <v>219</v>
      </c>
      <c r="D275" s="15" t="s">
        <v>35</v>
      </c>
      <c r="E275" s="15" t="s">
        <v>284</v>
      </c>
      <c r="F275" s="16" t="n">
        <v>31</v>
      </c>
      <c r="G275" s="16" t="n">
        <v>7</v>
      </c>
      <c r="H275" s="29" t="n">
        <v>5349.55</v>
      </c>
      <c r="I275" s="29" t="n">
        <f aca="false">H275/G275</f>
        <v>764.221428571429</v>
      </c>
      <c r="J275" s="15" t="s">
        <v>171</v>
      </c>
      <c r="K275" s="15" t="s">
        <v>172</v>
      </c>
    </row>
    <row r="276" customFormat="false" ht="18.75" hidden="false" customHeight="true" outlineLevel="0" collapsed="false">
      <c r="A276" s="10" t="s">
        <v>680</v>
      </c>
      <c r="B276" s="10" t="s">
        <v>681</v>
      </c>
      <c r="C276" s="10" t="s">
        <v>207</v>
      </c>
      <c r="D276" s="10" t="s">
        <v>35</v>
      </c>
      <c r="E276" s="10" t="s">
        <v>284</v>
      </c>
      <c r="F276" s="11" t="n">
        <v>23</v>
      </c>
      <c r="G276" s="11" t="n">
        <v>10</v>
      </c>
      <c r="H276" s="26" t="n">
        <v>5345.92</v>
      </c>
      <c r="I276" s="26" t="n">
        <f aca="false">H276/G276</f>
        <v>534.592</v>
      </c>
      <c r="J276" s="10" t="s">
        <v>142</v>
      </c>
      <c r="K276" s="10" t="s">
        <v>143</v>
      </c>
    </row>
    <row r="277" customFormat="false" ht="18.75" hidden="false" customHeight="true" outlineLevel="0" collapsed="false">
      <c r="A277" s="15" t="s">
        <v>682</v>
      </c>
      <c r="B277" s="15" t="s">
        <v>683</v>
      </c>
      <c r="C277" s="15" t="s">
        <v>184</v>
      </c>
      <c r="D277" s="15" t="s">
        <v>34</v>
      </c>
      <c r="E277" s="15" t="s">
        <v>284</v>
      </c>
      <c r="F277" s="16" t="n">
        <v>50</v>
      </c>
      <c r="G277" s="16" t="n">
        <v>8</v>
      </c>
      <c r="H277" s="29" t="n">
        <v>5344.18</v>
      </c>
      <c r="I277" s="29" t="n">
        <f aca="false">H277/G277</f>
        <v>668.0225</v>
      </c>
      <c r="J277" s="15" t="s">
        <v>189</v>
      </c>
      <c r="K277" s="15" t="s">
        <v>190</v>
      </c>
    </row>
    <row r="278" customFormat="false" ht="18.75" hidden="false" customHeight="true" outlineLevel="0" collapsed="false">
      <c r="A278" s="10" t="s">
        <v>684</v>
      </c>
      <c r="B278" s="10" t="s">
        <v>685</v>
      </c>
      <c r="C278" s="10" t="s">
        <v>184</v>
      </c>
      <c r="D278" s="10" t="s">
        <v>34</v>
      </c>
      <c r="E278" s="10" t="s">
        <v>284</v>
      </c>
      <c r="F278" s="11" t="n">
        <v>28</v>
      </c>
      <c r="G278" s="11" t="n">
        <v>10</v>
      </c>
      <c r="H278" s="26" t="n">
        <v>5330.67</v>
      </c>
      <c r="I278" s="26" t="n">
        <f aca="false">H278/G278</f>
        <v>533.067</v>
      </c>
      <c r="J278" s="10" t="s">
        <v>171</v>
      </c>
      <c r="K278" s="10" t="s">
        <v>172</v>
      </c>
    </row>
    <row r="279" customFormat="false" ht="18.75" hidden="false" customHeight="true" outlineLevel="0" collapsed="false">
      <c r="A279" s="15" t="s">
        <v>686</v>
      </c>
      <c r="B279" s="15" t="s">
        <v>373</v>
      </c>
      <c r="C279" s="15" t="s">
        <v>219</v>
      </c>
      <c r="D279" s="15" t="s">
        <v>35</v>
      </c>
      <c r="E279" s="15" t="s">
        <v>284</v>
      </c>
      <c r="F279" s="16" t="n">
        <v>19</v>
      </c>
      <c r="G279" s="16" t="n">
        <v>11</v>
      </c>
      <c r="H279" s="29" t="n">
        <v>5313.47</v>
      </c>
      <c r="I279" s="29" t="n">
        <f aca="false">H279/G279</f>
        <v>483.042727272727</v>
      </c>
      <c r="J279" s="15" t="s">
        <v>142</v>
      </c>
      <c r="K279" s="15" t="s">
        <v>143</v>
      </c>
    </row>
    <row r="280" customFormat="false" ht="18.75" hidden="false" customHeight="true" outlineLevel="0" collapsed="false">
      <c r="A280" s="10" t="s">
        <v>687</v>
      </c>
      <c r="B280" s="10" t="s">
        <v>688</v>
      </c>
      <c r="C280" s="10" t="s">
        <v>181</v>
      </c>
      <c r="D280" s="10" t="s">
        <v>36</v>
      </c>
      <c r="E280" s="10" t="s">
        <v>284</v>
      </c>
      <c r="F280" s="11" t="n">
        <v>61</v>
      </c>
      <c r="G280" s="11" t="n">
        <v>11</v>
      </c>
      <c r="H280" s="26" t="n">
        <v>5298.82</v>
      </c>
      <c r="I280" s="26" t="n">
        <f aca="false">H280/G280</f>
        <v>481.710909090909</v>
      </c>
      <c r="J280" s="10" t="s">
        <v>189</v>
      </c>
      <c r="K280" s="10" t="s">
        <v>190</v>
      </c>
    </row>
    <row r="281" customFormat="false" ht="18.75" hidden="false" customHeight="true" outlineLevel="0" collapsed="false">
      <c r="A281" s="15" t="s">
        <v>689</v>
      </c>
      <c r="B281" s="15" t="s">
        <v>690</v>
      </c>
      <c r="C281" s="15" t="s">
        <v>146</v>
      </c>
      <c r="D281" s="15" t="s">
        <v>34</v>
      </c>
      <c r="E281" s="15" t="s">
        <v>141</v>
      </c>
      <c r="F281" s="16" t="n">
        <v>302</v>
      </c>
      <c r="G281" s="16" t="n">
        <v>1</v>
      </c>
      <c r="H281" s="29" t="n">
        <v>5294.6</v>
      </c>
      <c r="I281" s="29" t="n">
        <f aca="false">H281/G281</f>
        <v>5294.6</v>
      </c>
      <c r="J281" s="15" t="s">
        <v>253</v>
      </c>
      <c r="K281" s="15" t="s">
        <v>254</v>
      </c>
    </row>
    <row r="282" customFormat="false" ht="18.75" hidden="false" customHeight="true" outlineLevel="0" collapsed="false">
      <c r="A282" s="10" t="s">
        <v>691</v>
      </c>
      <c r="B282" s="10" t="s">
        <v>692</v>
      </c>
      <c r="C282" s="10" t="s">
        <v>149</v>
      </c>
      <c r="D282" s="10" t="s">
        <v>35</v>
      </c>
      <c r="E282" s="10" t="s">
        <v>384</v>
      </c>
      <c r="F282" s="11" t="n">
        <v>195</v>
      </c>
      <c r="G282" s="11" t="n">
        <v>7</v>
      </c>
      <c r="H282" s="26" t="n">
        <v>5291.55</v>
      </c>
      <c r="I282" s="26" t="n">
        <f aca="false">H282/G282</f>
        <v>755.935714285714</v>
      </c>
      <c r="J282" s="10" t="s">
        <v>268</v>
      </c>
      <c r="K282" s="10" t="s">
        <v>269</v>
      </c>
    </row>
    <row r="283" customFormat="false" ht="18.75" hidden="false" customHeight="true" outlineLevel="0" collapsed="false">
      <c r="A283" s="15" t="s">
        <v>693</v>
      </c>
      <c r="B283" s="15" t="s">
        <v>694</v>
      </c>
      <c r="C283" s="15" t="s">
        <v>160</v>
      </c>
      <c r="D283" s="15" t="s">
        <v>36</v>
      </c>
      <c r="E283" s="15" t="s">
        <v>284</v>
      </c>
      <c r="F283" s="16" t="n">
        <v>19</v>
      </c>
      <c r="G283" s="16" t="n">
        <v>10</v>
      </c>
      <c r="H283" s="29" t="n">
        <v>5282.1</v>
      </c>
      <c r="I283" s="29" t="n">
        <f aca="false">H283/G283</f>
        <v>528.21</v>
      </c>
      <c r="J283" s="15" t="s">
        <v>142</v>
      </c>
      <c r="K283" s="15" t="s">
        <v>143</v>
      </c>
    </row>
    <row r="284" customFormat="false" ht="18.75" hidden="false" customHeight="true" outlineLevel="0" collapsed="false">
      <c r="A284" s="10" t="s">
        <v>695</v>
      </c>
      <c r="B284" s="10" t="s">
        <v>696</v>
      </c>
      <c r="C284" s="10" t="s">
        <v>181</v>
      </c>
      <c r="D284" s="10" t="s">
        <v>36</v>
      </c>
      <c r="E284" s="10" t="s">
        <v>284</v>
      </c>
      <c r="F284" s="11" t="n">
        <v>12</v>
      </c>
      <c r="G284" s="11" t="n">
        <v>12</v>
      </c>
      <c r="H284" s="26" t="n">
        <v>5274.69</v>
      </c>
      <c r="I284" s="26" t="n">
        <f aca="false">H284/G284</f>
        <v>439.5575</v>
      </c>
      <c r="J284" s="10" t="s">
        <v>142</v>
      </c>
      <c r="K284" s="10" t="s">
        <v>143</v>
      </c>
    </row>
    <row r="285" customFormat="false" ht="18.75" hidden="false" customHeight="true" outlineLevel="0" collapsed="false">
      <c r="A285" s="15" t="s">
        <v>697</v>
      </c>
      <c r="B285" s="15" t="s">
        <v>283</v>
      </c>
      <c r="C285" s="15" t="s">
        <v>160</v>
      </c>
      <c r="D285" s="15" t="s">
        <v>36</v>
      </c>
      <c r="E285" s="15" t="s">
        <v>284</v>
      </c>
      <c r="F285" s="16" t="n">
        <v>13</v>
      </c>
      <c r="G285" s="16" t="n">
        <v>14</v>
      </c>
      <c r="H285" s="29" t="n">
        <v>5262.7</v>
      </c>
      <c r="I285" s="29" t="n">
        <f aca="false">H285/G285</f>
        <v>375.907142857143</v>
      </c>
      <c r="J285" s="15" t="s">
        <v>142</v>
      </c>
      <c r="K285" s="15" t="s">
        <v>143</v>
      </c>
    </row>
    <row r="286" customFormat="false" ht="18.75" hidden="false" customHeight="true" outlineLevel="0" collapsed="false">
      <c r="A286" s="10" t="s">
        <v>698</v>
      </c>
      <c r="B286" s="10" t="s">
        <v>429</v>
      </c>
      <c r="C286" s="10" t="s">
        <v>163</v>
      </c>
      <c r="D286" s="10" t="s">
        <v>36</v>
      </c>
      <c r="E286" s="10" t="s">
        <v>284</v>
      </c>
      <c r="F286" s="11" t="n">
        <v>15</v>
      </c>
      <c r="G286" s="11" t="n">
        <v>8</v>
      </c>
      <c r="H286" s="26" t="n">
        <v>5259.26</v>
      </c>
      <c r="I286" s="26" t="n">
        <f aca="false">H286/G286</f>
        <v>657.4075</v>
      </c>
      <c r="J286" s="10" t="s">
        <v>142</v>
      </c>
      <c r="K286" s="10" t="s">
        <v>143</v>
      </c>
    </row>
    <row r="287" customFormat="false" ht="18.75" hidden="false" customHeight="true" outlineLevel="0" collapsed="false">
      <c r="A287" s="15" t="s">
        <v>699</v>
      </c>
      <c r="B287" s="15" t="s">
        <v>700</v>
      </c>
      <c r="C287" s="15" t="s">
        <v>163</v>
      </c>
      <c r="D287" s="15" t="s">
        <v>36</v>
      </c>
      <c r="E287" s="15" t="s">
        <v>384</v>
      </c>
      <c r="F287" s="16" t="n">
        <v>15</v>
      </c>
      <c r="G287" s="16" t="n">
        <v>7</v>
      </c>
      <c r="H287" s="29" t="n">
        <v>5256.36</v>
      </c>
      <c r="I287" s="29" t="n">
        <f aca="false">H287/G287</f>
        <v>750.908571428571</v>
      </c>
      <c r="J287" s="15" t="s">
        <v>171</v>
      </c>
      <c r="K287" s="15" t="s">
        <v>172</v>
      </c>
    </row>
    <row r="288" customFormat="false" ht="18.75" hidden="false" customHeight="true" outlineLevel="0" collapsed="false">
      <c r="A288" s="10" t="s">
        <v>701</v>
      </c>
      <c r="B288" s="10" t="s">
        <v>702</v>
      </c>
      <c r="C288" s="10" t="s">
        <v>152</v>
      </c>
      <c r="D288" s="10" t="s">
        <v>35</v>
      </c>
      <c r="E288" s="10" t="s">
        <v>384</v>
      </c>
      <c r="F288" s="11" t="n">
        <v>29</v>
      </c>
      <c r="G288" s="11" t="n">
        <v>11</v>
      </c>
      <c r="H288" s="26" t="n">
        <v>5253.65</v>
      </c>
      <c r="I288" s="26" t="n">
        <f aca="false">H288/G288</f>
        <v>477.604545454545</v>
      </c>
      <c r="J288" s="10" t="s">
        <v>171</v>
      </c>
      <c r="K288" s="10" t="s">
        <v>172</v>
      </c>
    </row>
    <row r="289" customFormat="false" ht="18.75" hidden="false" customHeight="true" outlineLevel="0" collapsed="false">
      <c r="A289" s="15" t="s">
        <v>703</v>
      </c>
      <c r="B289" s="15" t="s">
        <v>238</v>
      </c>
      <c r="C289" s="15" t="s">
        <v>146</v>
      </c>
      <c r="D289" s="15" t="s">
        <v>34</v>
      </c>
      <c r="E289" s="15" t="s">
        <v>284</v>
      </c>
      <c r="F289" s="16" t="n">
        <v>31</v>
      </c>
      <c r="G289" s="16" t="n">
        <v>8</v>
      </c>
      <c r="H289" s="29" t="n">
        <v>5252.6</v>
      </c>
      <c r="I289" s="29" t="n">
        <f aca="false">H289/G289</f>
        <v>656.575</v>
      </c>
      <c r="J289" s="15" t="s">
        <v>171</v>
      </c>
      <c r="K289" s="15" t="s">
        <v>172</v>
      </c>
    </row>
    <row r="290" customFormat="false" ht="18.75" hidden="false" customHeight="true" outlineLevel="0" collapsed="false">
      <c r="A290" s="10" t="s">
        <v>704</v>
      </c>
      <c r="B290" s="10" t="s">
        <v>705</v>
      </c>
      <c r="C290" s="10" t="s">
        <v>216</v>
      </c>
      <c r="D290" s="10" t="s">
        <v>34</v>
      </c>
      <c r="E290" s="10" t="s">
        <v>284</v>
      </c>
      <c r="F290" s="11" t="n">
        <v>41</v>
      </c>
      <c r="G290" s="11" t="n">
        <v>5</v>
      </c>
      <c r="H290" s="26" t="n">
        <v>5240.65</v>
      </c>
      <c r="I290" s="26" t="n">
        <f aca="false">H290/G290</f>
        <v>1048.13</v>
      </c>
      <c r="J290" s="10" t="s">
        <v>171</v>
      </c>
      <c r="K290" s="10" t="s">
        <v>172</v>
      </c>
    </row>
    <row r="291" customFormat="false" ht="18.75" hidden="false" customHeight="true" outlineLevel="0" collapsed="false">
      <c r="A291" s="15" t="s">
        <v>706</v>
      </c>
      <c r="B291" s="15" t="s">
        <v>707</v>
      </c>
      <c r="C291" s="15" t="s">
        <v>216</v>
      </c>
      <c r="D291" s="15" t="s">
        <v>34</v>
      </c>
      <c r="E291" s="15" t="s">
        <v>284</v>
      </c>
      <c r="F291" s="16" t="n">
        <v>6</v>
      </c>
      <c r="G291" s="16" t="n">
        <v>9</v>
      </c>
      <c r="H291" s="29" t="n">
        <v>5219.24</v>
      </c>
      <c r="I291" s="29" t="n">
        <f aca="false">H291/G291</f>
        <v>579.915555555555</v>
      </c>
      <c r="J291" s="15" t="s">
        <v>142</v>
      </c>
      <c r="K291" s="15" t="s">
        <v>143</v>
      </c>
    </row>
    <row r="292" customFormat="false" ht="18.75" hidden="false" customHeight="true" outlineLevel="0" collapsed="false">
      <c r="A292" s="10" t="s">
        <v>708</v>
      </c>
      <c r="B292" s="10" t="s">
        <v>386</v>
      </c>
      <c r="C292" s="10" t="s">
        <v>226</v>
      </c>
      <c r="D292" s="10" t="s">
        <v>36</v>
      </c>
      <c r="E292" s="10" t="s">
        <v>284</v>
      </c>
      <c r="F292" s="11" t="n">
        <v>11</v>
      </c>
      <c r="G292" s="11" t="n">
        <v>11</v>
      </c>
      <c r="H292" s="26" t="n">
        <v>5215.06</v>
      </c>
      <c r="I292" s="26" t="n">
        <f aca="false">H292/G292</f>
        <v>474.096363636364</v>
      </c>
      <c r="J292" s="10" t="s">
        <v>142</v>
      </c>
      <c r="K292" s="10" t="s">
        <v>143</v>
      </c>
    </row>
    <row r="293" customFormat="false" ht="18.75" hidden="false" customHeight="true" outlineLevel="0" collapsed="false">
      <c r="A293" s="15" t="s">
        <v>709</v>
      </c>
      <c r="B293" s="15" t="s">
        <v>710</v>
      </c>
      <c r="C293" s="15" t="s">
        <v>160</v>
      </c>
      <c r="D293" s="15" t="s">
        <v>36</v>
      </c>
      <c r="E293" s="15" t="s">
        <v>284</v>
      </c>
      <c r="F293" s="16" t="n">
        <v>21</v>
      </c>
      <c r="G293" s="16" t="n">
        <v>9</v>
      </c>
      <c r="H293" s="29" t="n">
        <v>5195.84</v>
      </c>
      <c r="I293" s="29" t="n">
        <f aca="false">H293/G293</f>
        <v>577.315555555556</v>
      </c>
      <c r="J293" s="15" t="s">
        <v>142</v>
      </c>
      <c r="K293" s="15" t="s">
        <v>143</v>
      </c>
    </row>
    <row r="294" customFormat="false" ht="18.75" hidden="false" customHeight="true" outlineLevel="0" collapsed="false">
      <c r="A294" s="10" t="s">
        <v>711</v>
      </c>
      <c r="B294" s="10" t="s">
        <v>712</v>
      </c>
      <c r="C294" s="10" t="s">
        <v>226</v>
      </c>
      <c r="D294" s="10" t="s">
        <v>36</v>
      </c>
      <c r="E294" s="10" t="s">
        <v>284</v>
      </c>
      <c r="F294" s="11" t="n">
        <v>17</v>
      </c>
      <c r="G294" s="11" t="n">
        <v>12</v>
      </c>
      <c r="H294" s="26" t="n">
        <v>5179.24</v>
      </c>
      <c r="I294" s="26" t="n">
        <f aca="false">H294/G294</f>
        <v>431.603333333333</v>
      </c>
      <c r="J294" s="10" t="s">
        <v>142</v>
      </c>
      <c r="K294" s="10" t="s">
        <v>143</v>
      </c>
    </row>
    <row r="295" customFormat="false" ht="18.75" hidden="false" customHeight="true" outlineLevel="0" collapsed="false">
      <c r="A295" s="15" t="s">
        <v>713</v>
      </c>
      <c r="B295" s="15" t="s">
        <v>446</v>
      </c>
      <c r="C295" s="15" t="s">
        <v>199</v>
      </c>
      <c r="D295" s="15" t="s">
        <v>36</v>
      </c>
      <c r="E295" s="15" t="s">
        <v>284</v>
      </c>
      <c r="F295" s="16" t="n">
        <v>65</v>
      </c>
      <c r="G295" s="16" t="n">
        <v>7</v>
      </c>
      <c r="H295" s="29" t="n">
        <v>5169.35</v>
      </c>
      <c r="I295" s="29" t="n">
        <f aca="false">H295/G295</f>
        <v>738.478571428572</v>
      </c>
      <c r="J295" s="15" t="s">
        <v>189</v>
      </c>
      <c r="K295" s="15" t="s">
        <v>190</v>
      </c>
    </row>
    <row r="296" customFormat="false" ht="18.75" hidden="false" customHeight="true" outlineLevel="0" collapsed="false">
      <c r="A296" s="10" t="s">
        <v>714</v>
      </c>
      <c r="B296" s="10" t="s">
        <v>715</v>
      </c>
      <c r="C296" s="10" t="s">
        <v>216</v>
      </c>
      <c r="D296" s="10" t="s">
        <v>34</v>
      </c>
      <c r="E296" s="10" t="s">
        <v>284</v>
      </c>
      <c r="F296" s="11" t="n">
        <v>5</v>
      </c>
      <c r="G296" s="11" t="n">
        <v>9</v>
      </c>
      <c r="H296" s="26" t="n">
        <v>5167.82</v>
      </c>
      <c r="I296" s="26" t="n">
        <f aca="false">H296/G296</f>
        <v>574.202222222222</v>
      </c>
      <c r="J296" s="10" t="s">
        <v>142</v>
      </c>
      <c r="K296" s="10" t="s">
        <v>143</v>
      </c>
    </row>
    <row r="297" customFormat="false" ht="18.75" hidden="false" customHeight="true" outlineLevel="0" collapsed="false">
      <c r="A297" s="15" t="s">
        <v>716</v>
      </c>
      <c r="B297" s="15" t="s">
        <v>717</v>
      </c>
      <c r="C297" s="15" t="s">
        <v>140</v>
      </c>
      <c r="D297" s="15" t="s">
        <v>35</v>
      </c>
      <c r="E297" s="15" t="s">
        <v>284</v>
      </c>
      <c r="F297" s="16" t="n">
        <v>29</v>
      </c>
      <c r="G297" s="16" t="n">
        <v>7</v>
      </c>
      <c r="H297" s="29" t="n">
        <v>5160.89</v>
      </c>
      <c r="I297" s="29" t="n">
        <f aca="false">H297/G297</f>
        <v>737.27</v>
      </c>
      <c r="J297" s="15" t="s">
        <v>171</v>
      </c>
      <c r="K297" s="15" t="s">
        <v>172</v>
      </c>
    </row>
    <row r="298" customFormat="false" ht="18.75" hidden="false" customHeight="true" outlineLevel="0" collapsed="false">
      <c r="A298" s="10" t="s">
        <v>718</v>
      </c>
      <c r="B298" s="10" t="s">
        <v>719</v>
      </c>
      <c r="C298" s="10" t="s">
        <v>219</v>
      </c>
      <c r="D298" s="10" t="s">
        <v>35</v>
      </c>
      <c r="E298" s="10" t="s">
        <v>284</v>
      </c>
      <c r="F298" s="11" t="n">
        <v>8</v>
      </c>
      <c r="G298" s="11" t="n">
        <v>11</v>
      </c>
      <c r="H298" s="26" t="n">
        <v>5156.76</v>
      </c>
      <c r="I298" s="26" t="n">
        <f aca="false">H298/G298</f>
        <v>468.796363636364</v>
      </c>
      <c r="J298" s="10" t="s">
        <v>142</v>
      </c>
      <c r="K298" s="10" t="s">
        <v>143</v>
      </c>
    </row>
    <row r="299" customFormat="false" ht="18.75" hidden="false" customHeight="true" outlineLevel="0" collapsed="false">
      <c r="A299" s="15" t="s">
        <v>720</v>
      </c>
      <c r="B299" s="15" t="s">
        <v>721</v>
      </c>
      <c r="C299" s="15" t="s">
        <v>160</v>
      </c>
      <c r="D299" s="15" t="s">
        <v>36</v>
      </c>
      <c r="E299" s="15" t="s">
        <v>284</v>
      </c>
      <c r="F299" s="16" t="n">
        <v>8</v>
      </c>
      <c r="G299" s="16" t="n">
        <v>10</v>
      </c>
      <c r="H299" s="29" t="n">
        <v>5146.79</v>
      </c>
      <c r="I299" s="29" t="n">
        <f aca="false">H299/G299</f>
        <v>514.679</v>
      </c>
      <c r="J299" s="15" t="s">
        <v>142</v>
      </c>
      <c r="K299" s="15" t="s">
        <v>143</v>
      </c>
    </row>
    <row r="300" customFormat="false" ht="18.75" hidden="false" customHeight="true" outlineLevel="0" collapsed="false">
      <c r="A300" s="10" t="s">
        <v>722</v>
      </c>
      <c r="B300" s="10" t="s">
        <v>723</v>
      </c>
      <c r="C300" s="10" t="s">
        <v>216</v>
      </c>
      <c r="D300" s="10" t="s">
        <v>34</v>
      </c>
      <c r="E300" s="10" t="s">
        <v>284</v>
      </c>
      <c r="F300" s="11" t="n">
        <v>105</v>
      </c>
      <c r="G300" s="11" t="n">
        <v>10</v>
      </c>
      <c r="H300" s="26" t="n">
        <v>5129.68</v>
      </c>
      <c r="I300" s="26" t="n">
        <f aca="false">H300/G300</f>
        <v>512.968</v>
      </c>
      <c r="J300" s="10" t="s">
        <v>189</v>
      </c>
      <c r="K300" s="10" t="s">
        <v>190</v>
      </c>
    </row>
    <row r="301" customFormat="false" ht="18.75" hidden="false" customHeight="true" outlineLevel="0" collapsed="false">
      <c r="A301" s="15" t="s">
        <v>724</v>
      </c>
      <c r="B301" s="15" t="s">
        <v>725</v>
      </c>
      <c r="C301" s="15" t="s">
        <v>226</v>
      </c>
      <c r="D301" s="15" t="s">
        <v>36</v>
      </c>
      <c r="E301" s="15" t="s">
        <v>284</v>
      </c>
      <c r="F301" s="16" t="n">
        <v>44</v>
      </c>
      <c r="G301" s="16" t="n">
        <v>7</v>
      </c>
      <c r="H301" s="29" t="n">
        <v>5113.91</v>
      </c>
      <c r="I301" s="29" t="n">
        <f aca="false">H301/G301</f>
        <v>730.558571428571</v>
      </c>
      <c r="J301" s="15" t="s">
        <v>171</v>
      </c>
      <c r="K301" s="15" t="s">
        <v>172</v>
      </c>
    </row>
    <row r="302" customFormat="false" ht="18.75" hidden="false" customHeight="true" outlineLevel="0" collapsed="false">
      <c r="A302" s="10" t="s">
        <v>726</v>
      </c>
      <c r="B302" s="10" t="s">
        <v>727</v>
      </c>
      <c r="C302" s="10" t="s">
        <v>140</v>
      </c>
      <c r="D302" s="10" t="s">
        <v>35</v>
      </c>
      <c r="E302" s="10" t="s">
        <v>284</v>
      </c>
      <c r="F302" s="11" t="n">
        <v>36</v>
      </c>
      <c r="G302" s="11" t="n">
        <v>11</v>
      </c>
      <c r="H302" s="26" t="n">
        <v>5113.5</v>
      </c>
      <c r="I302" s="26" t="n">
        <f aca="false">H302/G302</f>
        <v>464.863636363636</v>
      </c>
      <c r="J302" s="10" t="s">
        <v>171</v>
      </c>
      <c r="K302" s="10" t="s">
        <v>172</v>
      </c>
    </row>
    <row r="303" customFormat="false" ht="18.75" hidden="false" customHeight="true" outlineLevel="0" collapsed="false">
      <c r="A303" s="15" t="s">
        <v>728</v>
      </c>
      <c r="B303" s="15" t="s">
        <v>288</v>
      </c>
      <c r="C303" s="15" t="s">
        <v>152</v>
      </c>
      <c r="D303" s="15" t="s">
        <v>35</v>
      </c>
      <c r="E303" s="15" t="s">
        <v>284</v>
      </c>
      <c r="F303" s="16" t="n">
        <v>10</v>
      </c>
      <c r="G303" s="16" t="n">
        <v>13</v>
      </c>
      <c r="H303" s="29" t="n">
        <v>5110.04</v>
      </c>
      <c r="I303" s="29" t="n">
        <f aca="false">H303/G303</f>
        <v>393.08</v>
      </c>
      <c r="J303" s="15" t="s">
        <v>142</v>
      </c>
      <c r="K303" s="15" t="s">
        <v>143</v>
      </c>
    </row>
    <row r="304" customFormat="false" ht="18.75" hidden="false" customHeight="true" outlineLevel="0" collapsed="false">
      <c r="A304" s="10" t="s">
        <v>729</v>
      </c>
      <c r="B304" s="10" t="s">
        <v>730</v>
      </c>
      <c r="C304" s="10" t="s">
        <v>184</v>
      </c>
      <c r="D304" s="10" t="s">
        <v>34</v>
      </c>
      <c r="E304" s="10" t="s">
        <v>284</v>
      </c>
      <c r="F304" s="11" t="n">
        <v>3</v>
      </c>
      <c r="G304" s="11" t="n">
        <v>10</v>
      </c>
      <c r="H304" s="26" t="n">
        <v>5091.34</v>
      </c>
      <c r="I304" s="26" t="n">
        <f aca="false">H304/G304</f>
        <v>509.134</v>
      </c>
      <c r="J304" s="10" t="s">
        <v>142</v>
      </c>
      <c r="K304" s="10" t="s">
        <v>143</v>
      </c>
    </row>
    <row r="305" customFormat="false" ht="18.75" hidden="false" customHeight="true" outlineLevel="0" collapsed="false">
      <c r="A305" s="15" t="s">
        <v>731</v>
      </c>
      <c r="B305" s="15" t="s">
        <v>732</v>
      </c>
      <c r="C305" s="15" t="s">
        <v>199</v>
      </c>
      <c r="D305" s="15" t="s">
        <v>36</v>
      </c>
      <c r="E305" s="15" t="s">
        <v>284</v>
      </c>
      <c r="F305" s="16" t="n">
        <v>30</v>
      </c>
      <c r="G305" s="16" t="n">
        <v>10</v>
      </c>
      <c r="H305" s="29" t="n">
        <v>5087.48</v>
      </c>
      <c r="I305" s="29" t="n">
        <f aca="false">H305/G305</f>
        <v>508.748</v>
      </c>
      <c r="J305" s="15" t="s">
        <v>171</v>
      </c>
      <c r="K305" s="15" t="s">
        <v>172</v>
      </c>
    </row>
    <row r="306" customFormat="false" ht="18.75" hidden="false" customHeight="true" outlineLevel="0" collapsed="false">
      <c r="A306" s="10" t="s">
        <v>733</v>
      </c>
      <c r="B306" s="10" t="s">
        <v>734</v>
      </c>
      <c r="C306" s="10" t="s">
        <v>216</v>
      </c>
      <c r="D306" s="10" t="s">
        <v>34</v>
      </c>
      <c r="E306" s="10" t="s">
        <v>284</v>
      </c>
      <c r="F306" s="11" t="n">
        <v>8</v>
      </c>
      <c r="G306" s="11" t="n">
        <v>6</v>
      </c>
      <c r="H306" s="26" t="n">
        <v>5086.74</v>
      </c>
      <c r="I306" s="26" t="n">
        <f aca="false">H306/G306</f>
        <v>847.79</v>
      </c>
      <c r="J306" s="10" t="s">
        <v>171</v>
      </c>
      <c r="K306" s="10" t="s">
        <v>172</v>
      </c>
    </row>
    <row r="307" customFormat="false" ht="18.75" hidden="false" customHeight="true" outlineLevel="0" collapsed="false">
      <c r="A307" s="15" t="s">
        <v>735</v>
      </c>
      <c r="B307" s="15" t="s">
        <v>736</v>
      </c>
      <c r="C307" s="15" t="s">
        <v>216</v>
      </c>
      <c r="D307" s="15" t="s">
        <v>34</v>
      </c>
      <c r="E307" s="15" t="s">
        <v>284</v>
      </c>
      <c r="F307" s="16" t="n">
        <v>3</v>
      </c>
      <c r="G307" s="16" t="n">
        <v>12</v>
      </c>
      <c r="H307" s="29" t="n">
        <v>5050.8</v>
      </c>
      <c r="I307" s="29" t="n">
        <f aca="false">H307/G307</f>
        <v>420.9</v>
      </c>
      <c r="J307" s="15" t="s">
        <v>142</v>
      </c>
      <c r="K307" s="15" t="s">
        <v>143</v>
      </c>
    </row>
    <row r="308" customFormat="false" ht="18.75" hidden="false" customHeight="true" outlineLevel="0" collapsed="false">
      <c r="A308" s="10" t="s">
        <v>737</v>
      </c>
      <c r="B308" s="10" t="s">
        <v>738</v>
      </c>
      <c r="C308" s="10" t="s">
        <v>152</v>
      </c>
      <c r="D308" s="10" t="s">
        <v>35</v>
      </c>
      <c r="E308" s="10" t="s">
        <v>284</v>
      </c>
      <c r="F308" s="11" t="n">
        <v>36</v>
      </c>
      <c r="G308" s="11" t="n">
        <v>7</v>
      </c>
      <c r="H308" s="26" t="n">
        <v>5020.77</v>
      </c>
      <c r="I308" s="26" t="n">
        <f aca="false">H308/G308</f>
        <v>717.252857142857</v>
      </c>
      <c r="J308" s="10" t="s">
        <v>171</v>
      </c>
      <c r="K308" s="10" t="s">
        <v>172</v>
      </c>
    </row>
    <row r="309" customFormat="false" ht="18.75" hidden="false" customHeight="true" outlineLevel="0" collapsed="false">
      <c r="A309" s="15" t="s">
        <v>739</v>
      </c>
      <c r="B309" s="15" t="s">
        <v>740</v>
      </c>
      <c r="C309" s="15" t="s">
        <v>140</v>
      </c>
      <c r="D309" s="15" t="s">
        <v>35</v>
      </c>
      <c r="E309" s="15" t="s">
        <v>284</v>
      </c>
      <c r="F309" s="16" t="n">
        <v>6</v>
      </c>
      <c r="G309" s="16" t="n">
        <v>11</v>
      </c>
      <c r="H309" s="29" t="n">
        <v>5020.07</v>
      </c>
      <c r="I309" s="29" t="n">
        <f aca="false">H309/G309</f>
        <v>456.37</v>
      </c>
      <c r="J309" s="15" t="s">
        <v>142</v>
      </c>
      <c r="K309" s="15" t="s">
        <v>143</v>
      </c>
    </row>
    <row r="310" customFormat="false" ht="18.75" hidden="false" customHeight="true" outlineLevel="0" collapsed="false">
      <c r="A310" s="10" t="s">
        <v>741</v>
      </c>
      <c r="B310" s="10" t="s">
        <v>742</v>
      </c>
      <c r="C310" s="10" t="s">
        <v>226</v>
      </c>
      <c r="D310" s="10" t="s">
        <v>36</v>
      </c>
      <c r="E310" s="10" t="s">
        <v>284</v>
      </c>
      <c r="F310" s="11" t="n">
        <v>15</v>
      </c>
      <c r="G310" s="11" t="n">
        <v>10</v>
      </c>
      <c r="H310" s="26" t="n">
        <v>4997.09</v>
      </c>
      <c r="I310" s="26" t="n">
        <f aca="false">H310/G310</f>
        <v>499.709</v>
      </c>
      <c r="J310" s="10" t="s">
        <v>142</v>
      </c>
      <c r="K310" s="10" t="s">
        <v>143</v>
      </c>
    </row>
    <row r="311" customFormat="false" ht="18.75" hidden="false" customHeight="true" outlineLevel="0" collapsed="false">
      <c r="A311" s="15" t="s">
        <v>743</v>
      </c>
      <c r="B311" s="15" t="s">
        <v>744</v>
      </c>
      <c r="C311" s="15" t="s">
        <v>146</v>
      </c>
      <c r="D311" s="15" t="s">
        <v>34</v>
      </c>
      <c r="E311" s="15" t="s">
        <v>284</v>
      </c>
      <c r="F311" s="16" t="n">
        <v>29</v>
      </c>
      <c r="G311" s="16" t="n">
        <v>12</v>
      </c>
      <c r="H311" s="29" t="n">
        <v>4996.84</v>
      </c>
      <c r="I311" s="29" t="n">
        <f aca="false">H311/G311</f>
        <v>416.403333333333</v>
      </c>
      <c r="J311" s="15" t="s">
        <v>171</v>
      </c>
      <c r="K311" s="15" t="s">
        <v>172</v>
      </c>
    </row>
    <row r="312" customFormat="false" ht="18.75" hidden="false" customHeight="true" outlineLevel="0" collapsed="false">
      <c r="A312" s="10" t="s">
        <v>745</v>
      </c>
      <c r="B312" s="10" t="s">
        <v>746</v>
      </c>
      <c r="C312" s="10" t="s">
        <v>199</v>
      </c>
      <c r="D312" s="10" t="s">
        <v>36</v>
      </c>
      <c r="E312" s="10" t="s">
        <v>284</v>
      </c>
      <c r="F312" s="11" t="n">
        <v>5</v>
      </c>
      <c r="G312" s="11" t="n">
        <v>9</v>
      </c>
      <c r="H312" s="26" t="n">
        <v>4967.4</v>
      </c>
      <c r="I312" s="26" t="n">
        <f aca="false">H312/G312</f>
        <v>551.933333333333</v>
      </c>
      <c r="J312" s="10" t="s">
        <v>142</v>
      </c>
      <c r="K312" s="10" t="s">
        <v>143</v>
      </c>
    </row>
    <row r="313" customFormat="false" ht="18.75" hidden="false" customHeight="true" outlineLevel="0" collapsed="false">
      <c r="A313" s="15" t="s">
        <v>747</v>
      </c>
      <c r="B313" s="15" t="s">
        <v>748</v>
      </c>
      <c r="C313" s="15" t="s">
        <v>160</v>
      </c>
      <c r="D313" s="15" t="s">
        <v>36</v>
      </c>
      <c r="E313" s="15" t="s">
        <v>284</v>
      </c>
      <c r="F313" s="16" t="n">
        <v>17</v>
      </c>
      <c r="G313" s="16" t="n">
        <v>10</v>
      </c>
      <c r="H313" s="29" t="n">
        <v>4966.16</v>
      </c>
      <c r="I313" s="29" t="n">
        <f aca="false">H313/G313</f>
        <v>496.616</v>
      </c>
      <c r="J313" s="15" t="s">
        <v>142</v>
      </c>
      <c r="K313" s="15" t="s">
        <v>143</v>
      </c>
    </row>
    <row r="314" customFormat="false" ht="18.75" hidden="false" customHeight="true" outlineLevel="0" collapsed="false">
      <c r="A314" s="10" t="s">
        <v>749</v>
      </c>
      <c r="B314" s="10" t="s">
        <v>420</v>
      </c>
      <c r="C314" s="10" t="s">
        <v>207</v>
      </c>
      <c r="D314" s="10" t="s">
        <v>35</v>
      </c>
      <c r="E314" s="10" t="s">
        <v>284</v>
      </c>
      <c r="F314" s="11" t="n">
        <v>0</v>
      </c>
      <c r="G314" s="11" t="n">
        <v>12</v>
      </c>
      <c r="H314" s="26" t="n">
        <v>4964.05</v>
      </c>
      <c r="I314" s="26" t="n">
        <f aca="false">H314/G314</f>
        <v>413.670833333333</v>
      </c>
      <c r="J314" s="10" t="s">
        <v>142</v>
      </c>
      <c r="K314" s="10" t="s">
        <v>143</v>
      </c>
    </row>
    <row r="315" customFormat="false" ht="18.75" hidden="false" customHeight="true" outlineLevel="0" collapsed="false">
      <c r="A315" s="15" t="s">
        <v>750</v>
      </c>
      <c r="B315" s="15" t="s">
        <v>664</v>
      </c>
      <c r="C315" s="15" t="s">
        <v>166</v>
      </c>
      <c r="D315" s="15" t="s">
        <v>35</v>
      </c>
      <c r="E315" s="15" t="s">
        <v>284</v>
      </c>
      <c r="F315" s="16" t="n">
        <v>42</v>
      </c>
      <c r="G315" s="16" t="n">
        <v>11</v>
      </c>
      <c r="H315" s="29" t="n">
        <v>4952.8</v>
      </c>
      <c r="I315" s="29" t="n">
        <f aca="false">H315/G315</f>
        <v>450.254545454545</v>
      </c>
      <c r="J315" s="15" t="s">
        <v>171</v>
      </c>
      <c r="K315" s="15" t="s">
        <v>172</v>
      </c>
    </row>
    <row r="316" customFormat="false" ht="18.75" hidden="false" customHeight="true" outlineLevel="0" collapsed="false">
      <c r="A316" s="10" t="s">
        <v>751</v>
      </c>
      <c r="B316" s="10" t="s">
        <v>752</v>
      </c>
      <c r="C316" s="10" t="s">
        <v>216</v>
      </c>
      <c r="D316" s="10" t="s">
        <v>34</v>
      </c>
      <c r="E316" s="10" t="s">
        <v>284</v>
      </c>
      <c r="F316" s="11" t="n">
        <v>5</v>
      </c>
      <c r="G316" s="11" t="n">
        <v>10</v>
      </c>
      <c r="H316" s="26" t="n">
        <v>4869.09</v>
      </c>
      <c r="I316" s="26" t="n">
        <f aca="false">H316/G316</f>
        <v>486.909</v>
      </c>
      <c r="J316" s="10" t="s">
        <v>142</v>
      </c>
      <c r="K316" s="10" t="s">
        <v>143</v>
      </c>
    </row>
    <row r="317" customFormat="false" ht="18.75" hidden="false" customHeight="true" outlineLevel="0" collapsed="false">
      <c r="A317" s="15" t="s">
        <v>753</v>
      </c>
      <c r="B317" s="15" t="s">
        <v>754</v>
      </c>
      <c r="C317" s="15" t="s">
        <v>163</v>
      </c>
      <c r="D317" s="15" t="s">
        <v>36</v>
      </c>
      <c r="E317" s="15" t="s">
        <v>284</v>
      </c>
      <c r="F317" s="16" t="n">
        <v>8</v>
      </c>
      <c r="G317" s="16" t="n">
        <v>10</v>
      </c>
      <c r="H317" s="29" t="n">
        <v>4864.97</v>
      </c>
      <c r="I317" s="29" t="n">
        <f aca="false">H317/G317</f>
        <v>486.497</v>
      </c>
      <c r="J317" s="15" t="s">
        <v>142</v>
      </c>
      <c r="K317" s="15" t="s">
        <v>143</v>
      </c>
    </row>
    <row r="318" customFormat="false" ht="18.75" hidden="false" customHeight="true" outlineLevel="0" collapsed="false">
      <c r="A318" s="10" t="s">
        <v>755</v>
      </c>
      <c r="B318" s="10" t="s">
        <v>756</v>
      </c>
      <c r="C318" s="10" t="s">
        <v>184</v>
      </c>
      <c r="D318" s="10" t="s">
        <v>34</v>
      </c>
      <c r="E318" s="10" t="s">
        <v>284</v>
      </c>
      <c r="F318" s="11" t="n">
        <v>7</v>
      </c>
      <c r="G318" s="11" t="n">
        <v>8</v>
      </c>
      <c r="H318" s="26" t="n">
        <v>4862.76</v>
      </c>
      <c r="I318" s="26" t="n">
        <f aca="false">H318/G318</f>
        <v>607.845</v>
      </c>
      <c r="J318" s="10" t="s">
        <v>142</v>
      </c>
      <c r="K318" s="10" t="s">
        <v>143</v>
      </c>
    </row>
    <row r="319" customFormat="false" ht="18.75" hidden="false" customHeight="true" outlineLevel="0" collapsed="false">
      <c r="A319" s="15" t="s">
        <v>757</v>
      </c>
      <c r="B319" s="15" t="s">
        <v>758</v>
      </c>
      <c r="C319" s="15" t="s">
        <v>181</v>
      </c>
      <c r="D319" s="15" t="s">
        <v>36</v>
      </c>
      <c r="E319" s="15" t="s">
        <v>284</v>
      </c>
      <c r="F319" s="16" t="n">
        <v>43</v>
      </c>
      <c r="G319" s="16" t="n">
        <v>9</v>
      </c>
      <c r="H319" s="29" t="n">
        <v>4810.55</v>
      </c>
      <c r="I319" s="29" t="n">
        <f aca="false">H319/G319</f>
        <v>534.505555555556</v>
      </c>
      <c r="J319" s="15" t="s">
        <v>171</v>
      </c>
      <c r="K319" s="15" t="s">
        <v>172</v>
      </c>
    </row>
    <row r="320" customFormat="false" ht="18.75" hidden="false" customHeight="true" outlineLevel="0" collapsed="false">
      <c r="A320" s="10" t="s">
        <v>759</v>
      </c>
      <c r="B320" s="10" t="s">
        <v>275</v>
      </c>
      <c r="C320" s="10" t="s">
        <v>140</v>
      </c>
      <c r="D320" s="10" t="s">
        <v>35</v>
      </c>
      <c r="E320" s="10" t="s">
        <v>284</v>
      </c>
      <c r="F320" s="11" t="n">
        <v>25</v>
      </c>
      <c r="G320" s="11" t="n">
        <v>9</v>
      </c>
      <c r="H320" s="26" t="n">
        <v>4805.35</v>
      </c>
      <c r="I320" s="26" t="n">
        <f aca="false">H320/G320</f>
        <v>533.927777777778</v>
      </c>
      <c r="J320" s="10" t="s">
        <v>171</v>
      </c>
      <c r="K320" s="10" t="s">
        <v>172</v>
      </c>
    </row>
    <row r="321" customFormat="false" ht="18.75" hidden="false" customHeight="true" outlineLevel="0" collapsed="false">
      <c r="A321" s="15" t="s">
        <v>760</v>
      </c>
      <c r="B321" s="15" t="s">
        <v>342</v>
      </c>
      <c r="C321" s="15" t="s">
        <v>160</v>
      </c>
      <c r="D321" s="15" t="s">
        <v>36</v>
      </c>
      <c r="E321" s="15" t="s">
        <v>284</v>
      </c>
      <c r="F321" s="16" t="n">
        <v>46</v>
      </c>
      <c r="G321" s="16" t="n">
        <v>10</v>
      </c>
      <c r="H321" s="29" t="n">
        <v>4782.97</v>
      </c>
      <c r="I321" s="29" t="n">
        <f aca="false">H321/G321</f>
        <v>478.297</v>
      </c>
      <c r="J321" s="15" t="s">
        <v>171</v>
      </c>
      <c r="K321" s="15" t="s">
        <v>172</v>
      </c>
    </row>
    <row r="322" customFormat="false" ht="18.75" hidden="false" customHeight="true" outlineLevel="0" collapsed="false">
      <c r="A322" s="10" t="s">
        <v>761</v>
      </c>
      <c r="B322" s="10" t="s">
        <v>762</v>
      </c>
      <c r="C322" s="10" t="s">
        <v>226</v>
      </c>
      <c r="D322" s="10" t="s">
        <v>36</v>
      </c>
      <c r="E322" s="10" t="s">
        <v>284</v>
      </c>
      <c r="F322" s="11" t="n">
        <v>44</v>
      </c>
      <c r="G322" s="11" t="n">
        <v>10</v>
      </c>
      <c r="H322" s="26" t="n">
        <v>4778.83</v>
      </c>
      <c r="I322" s="26" t="n">
        <f aca="false">H322/G322</f>
        <v>477.883</v>
      </c>
      <c r="J322" s="10" t="s">
        <v>171</v>
      </c>
      <c r="K322" s="10" t="s">
        <v>172</v>
      </c>
    </row>
    <row r="323" customFormat="false" ht="18.75" hidden="false" customHeight="true" outlineLevel="0" collapsed="false">
      <c r="A323" s="15" t="s">
        <v>763</v>
      </c>
      <c r="B323" s="15" t="s">
        <v>764</v>
      </c>
      <c r="C323" s="15" t="s">
        <v>216</v>
      </c>
      <c r="D323" s="15" t="s">
        <v>34</v>
      </c>
      <c r="E323" s="15" t="s">
        <v>284</v>
      </c>
      <c r="F323" s="16" t="n">
        <v>71</v>
      </c>
      <c r="G323" s="16" t="n">
        <v>8</v>
      </c>
      <c r="H323" s="29" t="n">
        <v>4741.15</v>
      </c>
      <c r="I323" s="29" t="n">
        <f aca="false">H323/G323</f>
        <v>592.64375</v>
      </c>
      <c r="J323" s="15" t="s">
        <v>189</v>
      </c>
      <c r="K323" s="15" t="s">
        <v>190</v>
      </c>
    </row>
    <row r="324" customFormat="false" ht="18.75" hidden="false" customHeight="true" outlineLevel="0" collapsed="false">
      <c r="A324" s="10" t="s">
        <v>765</v>
      </c>
      <c r="B324" s="10" t="s">
        <v>766</v>
      </c>
      <c r="C324" s="10" t="s">
        <v>219</v>
      </c>
      <c r="D324" s="10" t="s">
        <v>35</v>
      </c>
      <c r="E324" s="10" t="s">
        <v>284</v>
      </c>
      <c r="F324" s="11" t="n">
        <v>2</v>
      </c>
      <c r="G324" s="11" t="n">
        <v>12</v>
      </c>
      <c r="H324" s="26" t="n">
        <v>4731.64</v>
      </c>
      <c r="I324" s="26" t="n">
        <f aca="false">H324/G324</f>
        <v>394.303333333333</v>
      </c>
      <c r="J324" s="10" t="s">
        <v>142</v>
      </c>
      <c r="K324" s="10" t="s">
        <v>143</v>
      </c>
    </row>
    <row r="325" customFormat="false" ht="18.75" hidden="false" customHeight="true" outlineLevel="0" collapsed="false">
      <c r="A325" s="15" t="s">
        <v>767</v>
      </c>
      <c r="B325" s="15" t="s">
        <v>768</v>
      </c>
      <c r="C325" s="15" t="s">
        <v>163</v>
      </c>
      <c r="D325" s="15" t="s">
        <v>36</v>
      </c>
      <c r="E325" s="15" t="s">
        <v>284</v>
      </c>
      <c r="F325" s="16" t="n">
        <v>55</v>
      </c>
      <c r="G325" s="16" t="n">
        <v>7</v>
      </c>
      <c r="H325" s="29" t="n">
        <v>4728.58</v>
      </c>
      <c r="I325" s="29" t="n">
        <f aca="false">H325/G325</f>
        <v>675.511428571429</v>
      </c>
      <c r="J325" s="15" t="s">
        <v>189</v>
      </c>
      <c r="K325" s="15" t="s">
        <v>190</v>
      </c>
    </row>
    <row r="326" customFormat="false" ht="18.75" hidden="false" customHeight="true" outlineLevel="0" collapsed="false">
      <c r="A326" s="10" t="s">
        <v>769</v>
      </c>
      <c r="B326" s="10" t="s">
        <v>770</v>
      </c>
      <c r="C326" s="10" t="s">
        <v>152</v>
      </c>
      <c r="D326" s="10" t="s">
        <v>35</v>
      </c>
      <c r="E326" s="10" t="s">
        <v>284</v>
      </c>
      <c r="F326" s="11" t="n">
        <v>0</v>
      </c>
      <c r="G326" s="11" t="n">
        <v>8</v>
      </c>
      <c r="H326" s="26" t="n">
        <v>4716.55</v>
      </c>
      <c r="I326" s="26" t="n">
        <f aca="false">H326/G326</f>
        <v>589.56875</v>
      </c>
      <c r="J326" s="10" t="s">
        <v>142</v>
      </c>
      <c r="K326" s="10" t="s">
        <v>143</v>
      </c>
    </row>
    <row r="327" customFormat="false" ht="18.75" hidden="false" customHeight="true" outlineLevel="0" collapsed="false">
      <c r="A327" s="15" t="s">
        <v>771</v>
      </c>
      <c r="B327" s="15" t="s">
        <v>772</v>
      </c>
      <c r="C327" s="15" t="s">
        <v>181</v>
      </c>
      <c r="D327" s="15" t="s">
        <v>36</v>
      </c>
      <c r="E327" s="15" t="s">
        <v>284</v>
      </c>
      <c r="F327" s="16" t="n">
        <v>8</v>
      </c>
      <c r="G327" s="16" t="n">
        <v>8</v>
      </c>
      <c r="H327" s="29" t="n">
        <v>4716.23</v>
      </c>
      <c r="I327" s="29" t="n">
        <f aca="false">H327/G327</f>
        <v>589.52875</v>
      </c>
      <c r="J327" s="15" t="s">
        <v>142</v>
      </c>
      <c r="K327" s="15" t="s">
        <v>143</v>
      </c>
    </row>
    <row r="328" customFormat="false" ht="18.75" hidden="false" customHeight="true" outlineLevel="0" collapsed="false">
      <c r="A328" s="10" t="s">
        <v>773</v>
      </c>
      <c r="B328" s="10" t="s">
        <v>774</v>
      </c>
      <c r="C328" s="10" t="s">
        <v>146</v>
      </c>
      <c r="D328" s="10" t="s">
        <v>34</v>
      </c>
      <c r="E328" s="10" t="s">
        <v>284</v>
      </c>
      <c r="F328" s="11" t="n">
        <v>20</v>
      </c>
      <c r="G328" s="11" t="n">
        <v>12</v>
      </c>
      <c r="H328" s="26" t="n">
        <v>4715.16</v>
      </c>
      <c r="I328" s="26" t="n">
        <f aca="false">H328/G328</f>
        <v>392.93</v>
      </c>
      <c r="J328" s="10" t="s">
        <v>142</v>
      </c>
      <c r="K328" s="10" t="s">
        <v>143</v>
      </c>
    </row>
    <row r="329" customFormat="false" ht="18.75" hidden="false" customHeight="true" outlineLevel="0" collapsed="false">
      <c r="A329" s="15" t="s">
        <v>775</v>
      </c>
      <c r="B329" s="15" t="s">
        <v>776</v>
      </c>
      <c r="C329" s="15" t="s">
        <v>181</v>
      </c>
      <c r="D329" s="15" t="s">
        <v>36</v>
      </c>
      <c r="E329" s="15" t="s">
        <v>284</v>
      </c>
      <c r="F329" s="16" t="n">
        <v>10</v>
      </c>
      <c r="G329" s="16" t="n">
        <v>11</v>
      </c>
      <c r="H329" s="29" t="n">
        <v>4702.6</v>
      </c>
      <c r="I329" s="29" t="n">
        <f aca="false">H329/G329</f>
        <v>427.509090909091</v>
      </c>
      <c r="J329" s="15" t="s">
        <v>142</v>
      </c>
      <c r="K329" s="15" t="s">
        <v>143</v>
      </c>
    </row>
    <row r="330" customFormat="false" ht="18.75" hidden="false" customHeight="true" outlineLevel="0" collapsed="false">
      <c r="A330" s="10" t="s">
        <v>777</v>
      </c>
      <c r="B330" s="10" t="s">
        <v>778</v>
      </c>
      <c r="C330" s="10" t="s">
        <v>140</v>
      </c>
      <c r="D330" s="10" t="s">
        <v>35</v>
      </c>
      <c r="E330" s="10" t="s">
        <v>284</v>
      </c>
      <c r="F330" s="11" t="n">
        <v>46</v>
      </c>
      <c r="G330" s="11" t="n">
        <v>9</v>
      </c>
      <c r="H330" s="26" t="n">
        <v>4672.55</v>
      </c>
      <c r="I330" s="26" t="n">
        <f aca="false">H330/G330</f>
        <v>519.172222222222</v>
      </c>
      <c r="J330" s="10" t="s">
        <v>171</v>
      </c>
      <c r="K330" s="10" t="s">
        <v>172</v>
      </c>
    </row>
    <row r="331" customFormat="false" ht="18.75" hidden="false" customHeight="true" outlineLevel="0" collapsed="false">
      <c r="A331" s="15" t="s">
        <v>779</v>
      </c>
      <c r="B331" s="15" t="s">
        <v>780</v>
      </c>
      <c r="C331" s="15" t="s">
        <v>160</v>
      </c>
      <c r="D331" s="15" t="s">
        <v>36</v>
      </c>
      <c r="E331" s="15" t="s">
        <v>284</v>
      </c>
      <c r="F331" s="16" t="n">
        <v>36</v>
      </c>
      <c r="G331" s="16" t="n">
        <v>11</v>
      </c>
      <c r="H331" s="29" t="n">
        <v>4671.86</v>
      </c>
      <c r="I331" s="29" t="n">
        <f aca="false">H331/G331</f>
        <v>424.714545454546</v>
      </c>
      <c r="J331" s="15" t="s">
        <v>171</v>
      </c>
      <c r="K331" s="15" t="s">
        <v>172</v>
      </c>
    </row>
    <row r="332" customFormat="false" ht="18.75" hidden="false" customHeight="true" outlineLevel="0" collapsed="false">
      <c r="A332" s="10" t="s">
        <v>781</v>
      </c>
      <c r="B332" s="10" t="s">
        <v>782</v>
      </c>
      <c r="C332" s="10" t="s">
        <v>163</v>
      </c>
      <c r="D332" s="10" t="s">
        <v>36</v>
      </c>
      <c r="E332" s="10" t="s">
        <v>284</v>
      </c>
      <c r="F332" s="11" t="n">
        <v>58</v>
      </c>
      <c r="G332" s="11" t="n">
        <v>10</v>
      </c>
      <c r="H332" s="26" t="n">
        <v>4668.83</v>
      </c>
      <c r="I332" s="26" t="n">
        <f aca="false">H332/G332</f>
        <v>466.883</v>
      </c>
      <c r="J332" s="10" t="s">
        <v>189</v>
      </c>
      <c r="K332" s="10" t="s">
        <v>190</v>
      </c>
    </row>
    <row r="333" customFormat="false" ht="18.75" hidden="false" customHeight="true" outlineLevel="0" collapsed="false">
      <c r="A333" s="15" t="s">
        <v>783</v>
      </c>
      <c r="B333" s="15" t="s">
        <v>507</v>
      </c>
      <c r="C333" s="15" t="s">
        <v>149</v>
      </c>
      <c r="D333" s="15" t="s">
        <v>35</v>
      </c>
      <c r="E333" s="15" t="s">
        <v>284</v>
      </c>
      <c r="F333" s="16" t="n">
        <v>65</v>
      </c>
      <c r="G333" s="16" t="n">
        <v>8</v>
      </c>
      <c r="H333" s="29" t="n">
        <v>4647.63</v>
      </c>
      <c r="I333" s="29" t="n">
        <f aca="false">H333/G333</f>
        <v>580.95375</v>
      </c>
      <c r="J333" s="15" t="s">
        <v>189</v>
      </c>
      <c r="K333" s="15" t="s">
        <v>190</v>
      </c>
    </row>
    <row r="334" customFormat="false" ht="18.75" hidden="false" customHeight="true" outlineLevel="0" collapsed="false">
      <c r="A334" s="10" t="s">
        <v>784</v>
      </c>
      <c r="B334" s="10" t="s">
        <v>785</v>
      </c>
      <c r="C334" s="10" t="s">
        <v>219</v>
      </c>
      <c r="D334" s="10" t="s">
        <v>35</v>
      </c>
      <c r="E334" s="10" t="s">
        <v>284</v>
      </c>
      <c r="F334" s="11" t="n">
        <v>22</v>
      </c>
      <c r="G334" s="11" t="n">
        <v>8</v>
      </c>
      <c r="H334" s="26" t="n">
        <v>4633.46</v>
      </c>
      <c r="I334" s="26" t="n">
        <f aca="false">H334/G334</f>
        <v>579.1825</v>
      </c>
      <c r="J334" s="10" t="s">
        <v>142</v>
      </c>
      <c r="K334" s="10" t="s">
        <v>143</v>
      </c>
    </row>
    <row r="335" customFormat="false" ht="18.75" hidden="false" customHeight="true" outlineLevel="0" collapsed="false">
      <c r="A335" s="15" t="s">
        <v>786</v>
      </c>
      <c r="B335" s="15" t="s">
        <v>787</v>
      </c>
      <c r="C335" s="15" t="s">
        <v>160</v>
      </c>
      <c r="D335" s="15" t="s">
        <v>36</v>
      </c>
      <c r="E335" s="15" t="s">
        <v>284</v>
      </c>
      <c r="F335" s="16" t="n">
        <v>43</v>
      </c>
      <c r="G335" s="16" t="n">
        <v>9</v>
      </c>
      <c r="H335" s="29" t="n">
        <v>4621.74</v>
      </c>
      <c r="I335" s="29" t="n">
        <f aca="false">H335/G335</f>
        <v>513.526666666667</v>
      </c>
      <c r="J335" s="15" t="s">
        <v>171</v>
      </c>
      <c r="K335" s="15" t="s">
        <v>172</v>
      </c>
    </row>
    <row r="336" customFormat="false" ht="18.75" hidden="false" customHeight="true" outlineLevel="0" collapsed="false">
      <c r="A336" s="10" t="s">
        <v>788</v>
      </c>
      <c r="B336" s="10" t="s">
        <v>154</v>
      </c>
      <c r="C336" s="10" t="s">
        <v>226</v>
      </c>
      <c r="D336" s="10" t="s">
        <v>36</v>
      </c>
      <c r="E336" s="10" t="s">
        <v>284</v>
      </c>
      <c r="F336" s="11" t="n">
        <v>9</v>
      </c>
      <c r="G336" s="11" t="n">
        <v>5</v>
      </c>
      <c r="H336" s="26" t="n">
        <v>4619.73</v>
      </c>
      <c r="I336" s="26" t="n">
        <f aca="false">H336/G336</f>
        <v>923.946</v>
      </c>
      <c r="J336" s="10" t="s">
        <v>171</v>
      </c>
      <c r="K336" s="10" t="s">
        <v>172</v>
      </c>
    </row>
    <row r="337" customFormat="false" ht="18.75" hidden="false" customHeight="true" outlineLevel="0" collapsed="false">
      <c r="A337" s="15" t="s">
        <v>789</v>
      </c>
      <c r="B337" s="15" t="s">
        <v>306</v>
      </c>
      <c r="C337" s="15" t="s">
        <v>166</v>
      </c>
      <c r="D337" s="15" t="s">
        <v>35</v>
      </c>
      <c r="E337" s="15" t="s">
        <v>384</v>
      </c>
      <c r="F337" s="16" t="n">
        <v>35</v>
      </c>
      <c r="G337" s="16" t="n">
        <v>9</v>
      </c>
      <c r="H337" s="29" t="n">
        <v>4617.21</v>
      </c>
      <c r="I337" s="29" t="n">
        <f aca="false">H337/G337</f>
        <v>513.023333333333</v>
      </c>
      <c r="J337" s="15" t="s">
        <v>171</v>
      </c>
      <c r="K337" s="15" t="s">
        <v>172</v>
      </c>
    </row>
    <row r="338" customFormat="false" ht="18.75" hidden="false" customHeight="true" outlineLevel="0" collapsed="false">
      <c r="A338" s="10" t="s">
        <v>790</v>
      </c>
      <c r="B338" s="10" t="s">
        <v>791</v>
      </c>
      <c r="C338" s="10" t="s">
        <v>155</v>
      </c>
      <c r="D338" s="10" t="s">
        <v>34</v>
      </c>
      <c r="E338" s="10" t="s">
        <v>284</v>
      </c>
      <c r="F338" s="11" t="n">
        <v>2</v>
      </c>
      <c r="G338" s="11" t="n">
        <v>8</v>
      </c>
      <c r="H338" s="26" t="n">
        <v>4602.7</v>
      </c>
      <c r="I338" s="26" t="n">
        <f aca="false">H338/G338</f>
        <v>575.3375</v>
      </c>
      <c r="J338" s="10" t="s">
        <v>142</v>
      </c>
      <c r="K338" s="10" t="s">
        <v>143</v>
      </c>
    </row>
    <row r="339" customFormat="false" ht="18.75" hidden="false" customHeight="true" outlineLevel="0" collapsed="false">
      <c r="A339" s="15" t="s">
        <v>792</v>
      </c>
      <c r="B339" s="15" t="s">
        <v>793</v>
      </c>
      <c r="C339" s="15" t="s">
        <v>166</v>
      </c>
      <c r="D339" s="15" t="s">
        <v>35</v>
      </c>
      <c r="E339" s="15" t="s">
        <v>384</v>
      </c>
      <c r="F339" s="16" t="n">
        <v>10</v>
      </c>
      <c r="G339" s="16" t="n">
        <v>9</v>
      </c>
      <c r="H339" s="29" t="n">
        <v>4600.23</v>
      </c>
      <c r="I339" s="29" t="n">
        <f aca="false">H339/G339</f>
        <v>511.136666666667</v>
      </c>
      <c r="J339" s="15" t="s">
        <v>142</v>
      </c>
      <c r="K339" s="15" t="s">
        <v>143</v>
      </c>
    </row>
    <row r="340" customFormat="false" ht="18.75" hidden="false" customHeight="true" outlineLevel="0" collapsed="false">
      <c r="A340" s="10" t="s">
        <v>794</v>
      </c>
      <c r="B340" s="10" t="s">
        <v>795</v>
      </c>
      <c r="C340" s="10" t="s">
        <v>166</v>
      </c>
      <c r="D340" s="10" t="s">
        <v>35</v>
      </c>
      <c r="E340" s="10" t="s">
        <v>284</v>
      </c>
      <c r="F340" s="11" t="n">
        <v>11</v>
      </c>
      <c r="G340" s="11" t="n">
        <v>8</v>
      </c>
      <c r="H340" s="26" t="n">
        <v>4596.65</v>
      </c>
      <c r="I340" s="26" t="n">
        <f aca="false">H340/G340</f>
        <v>574.58125</v>
      </c>
      <c r="J340" s="10" t="s">
        <v>142</v>
      </c>
      <c r="K340" s="10" t="s">
        <v>143</v>
      </c>
    </row>
    <row r="341" customFormat="false" ht="18.75" hidden="false" customHeight="true" outlineLevel="0" collapsed="false">
      <c r="A341" s="15" t="s">
        <v>796</v>
      </c>
      <c r="B341" s="15" t="s">
        <v>797</v>
      </c>
      <c r="C341" s="15" t="s">
        <v>155</v>
      </c>
      <c r="D341" s="15" t="s">
        <v>34</v>
      </c>
      <c r="E341" s="15" t="s">
        <v>284</v>
      </c>
      <c r="F341" s="16" t="n">
        <v>42</v>
      </c>
      <c r="G341" s="16" t="n">
        <v>9</v>
      </c>
      <c r="H341" s="29" t="n">
        <v>4579.78</v>
      </c>
      <c r="I341" s="29" t="n">
        <f aca="false">H341/G341</f>
        <v>508.864444444444</v>
      </c>
      <c r="J341" s="15" t="s">
        <v>171</v>
      </c>
      <c r="K341" s="15" t="s">
        <v>172</v>
      </c>
    </row>
    <row r="342" customFormat="false" ht="18.75" hidden="false" customHeight="true" outlineLevel="0" collapsed="false">
      <c r="A342" s="10" t="s">
        <v>798</v>
      </c>
      <c r="B342" s="10" t="s">
        <v>569</v>
      </c>
      <c r="C342" s="10" t="s">
        <v>184</v>
      </c>
      <c r="D342" s="10" t="s">
        <v>34</v>
      </c>
      <c r="E342" s="10" t="s">
        <v>284</v>
      </c>
      <c r="F342" s="11" t="n">
        <v>5</v>
      </c>
      <c r="G342" s="11" t="n">
        <v>9</v>
      </c>
      <c r="H342" s="26" t="n">
        <v>4577.28</v>
      </c>
      <c r="I342" s="26" t="n">
        <f aca="false">H342/G342</f>
        <v>508.586666666667</v>
      </c>
      <c r="J342" s="10" t="s">
        <v>142</v>
      </c>
      <c r="K342" s="10" t="s">
        <v>143</v>
      </c>
    </row>
    <row r="343" customFormat="false" ht="18.75" hidden="false" customHeight="true" outlineLevel="0" collapsed="false">
      <c r="A343" s="15" t="s">
        <v>799</v>
      </c>
      <c r="B343" s="15" t="s">
        <v>800</v>
      </c>
      <c r="C343" s="15" t="s">
        <v>199</v>
      </c>
      <c r="D343" s="15" t="s">
        <v>36</v>
      </c>
      <c r="E343" s="15" t="s">
        <v>284</v>
      </c>
      <c r="F343" s="16" t="n">
        <v>8</v>
      </c>
      <c r="G343" s="16" t="n">
        <v>10</v>
      </c>
      <c r="H343" s="29" t="n">
        <v>4572.55</v>
      </c>
      <c r="I343" s="29" t="n">
        <f aca="false">H343/G343</f>
        <v>457.255</v>
      </c>
      <c r="J343" s="15" t="s">
        <v>142</v>
      </c>
      <c r="K343" s="15" t="s">
        <v>143</v>
      </c>
    </row>
    <row r="344" customFormat="false" ht="18.75" hidden="false" customHeight="true" outlineLevel="0" collapsed="false">
      <c r="A344" s="10" t="s">
        <v>801</v>
      </c>
      <c r="B344" s="10" t="s">
        <v>802</v>
      </c>
      <c r="C344" s="10" t="s">
        <v>184</v>
      </c>
      <c r="D344" s="10" t="s">
        <v>34</v>
      </c>
      <c r="E344" s="10" t="s">
        <v>284</v>
      </c>
      <c r="F344" s="11" t="n">
        <v>1</v>
      </c>
      <c r="G344" s="11" t="n">
        <v>8</v>
      </c>
      <c r="H344" s="26" t="n">
        <v>4561.7</v>
      </c>
      <c r="I344" s="26" t="n">
        <f aca="false">H344/G344</f>
        <v>570.2125</v>
      </c>
      <c r="J344" s="10" t="s">
        <v>142</v>
      </c>
      <c r="K344" s="10" t="s">
        <v>143</v>
      </c>
    </row>
    <row r="345" customFormat="false" ht="18.75" hidden="false" customHeight="true" outlineLevel="0" collapsed="false">
      <c r="A345" s="15" t="s">
        <v>803</v>
      </c>
      <c r="B345" s="15" t="s">
        <v>804</v>
      </c>
      <c r="C345" s="15" t="s">
        <v>207</v>
      </c>
      <c r="D345" s="15" t="s">
        <v>35</v>
      </c>
      <c r="E345" s="15" t="s">
        <v>284</v>
      </c>
      <c r="F345" s="16" t="n">
        <v>1</v>
      </c>
      <c r="G345" s="16" t="n">
        <v>8</v>
      </c>
      <c r="H345" s="29" t="n">
        <v>4561.38</v>
      </c>
      <c r="I345" s="29" t="n">
        <f aca="false">H345/G345</f>
        <v>570.1725</v>
      </c>
      <c r="J345" s="15" t="s">
        <v>142</v>
      </c>
      <c r="K345" s="15" t="s">
        <v>143</v>
      </c>
    </row>
    <row r="346" customFormat="false" ht="18.75" hidden="false" customHeight="true" outlineLevel="0" collapsed="false">
      <c r="A346" s="10" t="s">
        <v>805</v>
      </c>
      <c r="B346" s="10" t="s">
        <v>654</v>
      </c>
      <c r="C346" s="10" t="s">
        <v>219</v>
      </c>
      <c r="D346" s="10" t="s">
        <v>35</v>
      </c>
      <c r="E346" s="10" t="s">
        <v>284</v>
      </c>
      <c r="F346" s="11" t="n">
        <v>22</v>
      </c>
      <c r="G346" s="11" t="n">
        <v>9</v>
      </c>
      <c r="H346" s="26" t="n">
        <v>4551.59</v>
      </c>
      <c r="I346" s="26" t="n">
        <f aca="false">H346/G346</f>
        <v>505.732222222222</v>
      </c>
      <c r="J346" s="10" t="s">
        <v>142</v>
      </c>
      <c r="K346" s="10" t="s">
        <v>143</v>
      </c>
    </row>
    <row r="347" customFormat="false" ht="18.75" hidden="false" customHeight="true" outlineLevel="0" collapsed="false">
      <c r="A347" s="15" t="s">
        <v>806</v>
      </c>
      <c r="B347" s="15" t="s">
        <v>807</v>
      </c>
      <c r="C347" s="15" t="s">
        <v>163</v>
      </c>
      <c r="D347" s="15" t="s">
        <v>36</v>
      </c>
      <c r="E347" s="15" t="s">
        <v>284</v>
      </c>
      <c r="F347" s="16" t="n">
        <v>42</v>
      </c>
      <c r="G347" s="16" t="n">
        <v>9</v>
      </c>
      <c r="H347" s="29" t="n">
        <v>4548.92</v>
      </c>
      <c r="I347" s="29" t="n">
        <f aca="false">H347/G347</f>
        <v>505.435555555556</v>
      </c>
      <c r="J347" s="15" t="s">
        <v>171</v>
      </c>
      <c r="K347" s="15" t="s">
        <v>172</v>
      </c>
    </row>
    <row r="348" customFormat="false" ht="18.75" hidden="false" customHeight="true" outlineLevel="0" collapsed="false">
      <c r="A348" s="10" t="s">
        <v>808</v>
      </c>
      <c r="B348" s="10" t="s">
        <v>286</v>
      </c>
      <c r="C348" s="10" t="s">
        <v>155</v>
      </c>
      <c r="D348" s="10" t="s">
        <v>34</v>
      </c>
      <c r="E348" s="10" t="s">
        <v>284</v>
      </c>
      <c r="F348" s="11" t="n">
        <v>4</v>
      </c>
      <c r="G348" s="11" t="n">
        <v>10</v>
      </c>
      <c r="H348" s="26" t="n">
        <v>4546.95</v>
      </c>
      <c r="I348" s="26" t="n">
        <f aca="false">H348/G348</f>
        <v>454.695</v>
      </c>
      <c r="J348" s="10" t="s">
        <v>142</v>
      </c>
      <c r="K348" s="10" t="s">
        <v>143</v>
      </c>
    </row>
    <row r="349" customFormat="false" ht="18.75" hidden="false" customHeight="true" outlineLevel="0" collapsed="false">
      <c r="A349" s="15" t="s">
        <v>809</v>
      </c>
      <c r="B349" s="15" t="s">
        <v>810</v>
      </c>
      <c r="C349" s="15" t="s">
        <v>155</v>
      </c>
      <c r="D349" s="15" t="s">
        <v>34</v>
      </c>
      <c r="E349" s="15" t="s">
        <v>284</v>
      </c>
      <c r="F349" s="16" t="n">
        <v>24</v>
      </c>
      <c r="G349" s="16" t="n">
        <v>13</v>
      </c>
      <c r="H349" s="29" t="n">
        <v>4518.16</v>
      </c>
      <c r="I349" s="29" t="n">
        <f aca="false">H349/G349</f>
        <v>347.550769230769</v>
      </c>
      <c r="J349" s="15" t="s">
        <v>142</v>
      </c>
      <c r="K349" s="15" t="s">
        <v>143</v>
      </c>
    </row>
    <row r="350" customFormat="false" ht="18.75" hidden="false" customHeight="true" outlineLevel="0" collapsed="false">
      <c r="A350" s="10" t="s">
        <v>811</v>
      </c>
      <c r="B350" s="10" t="s">
        <v>812</v>
      </c>
      <c r="C350" s="10" t="s">
        <v>199</v>
      </c>
      <c r="D350" s="10" t="s">
        <v>36</v>
      </c>
      <c r="E350" s="10" t="s">
        <v>284</v>
      </c>
      <c r="F350" s="11" t="n">
        <v>2</v>
      </c>
      <c r="G350" s="11" t="n">
        <v>9</v>
      </c>
      <c r="H350" s="26" t="n">
        <v>4509.09</v>
      </c>
      <c r="I350" s="26" t="n">
        <f aca="false">H350/G350</f>
        <v>501.01</v>
      </c>
      <c r="J350" s="10" t="s">
        <v>142</v>
      </c>
      <c r="K350" s="10" t="s">
        <v>143</v>
      </c>
    </row>
    <row r="351" customFormat="false" ht="18.75" hidden="false" customHeight="true" outlineLevel="0" collapsed="false">
      <c r="A351" s="15" t="s">
        <v>813</v>
      </c>
      <c r="B351" s="15" t="s">
        <v>230</v>
      </c>
      <c r="C351" s="15" t="s">
        <v>155</v>
      </c>
      <c r="D351" s="15" t="s">
        <v>34</v>
      </c>
      <c r="E351" s="15" t="s">
        <v>284</v>
      </c>
      <c r="F351" s="16" t="n">
        <v>81</v>
      </c>
      <c r="G351" s="16" t="n">
        <v>11</v>
      </c>
      <c r="H351" s="29" t="n">
        <v>4505.61</v>
      </c>
      <c r="I351" s="29" t="n">
        <f aca="false">H351/G351</f>
        <v>409.600909090909</v>
      </c>
      <c r="J351" s="15" t="s">
        <v>189</v>
      </c>
      <c r="K351" s="15" t="s">
        <v>190</v>
      </c>
    </row>
    <row r="352" customFormat="false" ht="18.75" hidden="false" customHeight="true" outlineLevel="0" collapsed="false">
      <c r="A352" s="10" t="s">
        <v>814</v>
      </c>
      <c r="B352" s="10" t="s">
        <v>815</v>
      </c>
      <c r="C352" s="10" t="s">
        <v>226</v>
      </c>
      <c r="D352" s="10" t="s">
        <v>36</v>
      </c>
      <c r="E352" s="10" t="s">
        <v>284</v>
      </c>
      <c r="F352" s="11" t="n">
        <v>23</v>
      </c>
      <c r="G352" s="11" t="n">
        <v>7</v>
      </c>
      <c r="H352" s="26" t="n">
        <v>4503.02</v>
      </c>
      <c r="I352" s="26" t="n">
        <f aca="false">H352/G352</f>
        <v>643.288571428572</v>
      </c>
      <c r="J352" s="10" t="s">
        <v>171</v>
      </c>
      <c r="K352" s="10" t="s">
        <v>172</v>
      </c>
    </row>
    <row r="353" customFormat="false" ht="18.75" hidden="false" customHeight="true" outlineLevel="0" collapsed="false">
      <c r="A353" s="15" t="s">
        <v>816</v>
      </c>
      <c r="B353" s="15" t="s">
        <v>710</v>
      </c>
      <c r="C353" s="15" t="s">
        <v>166</v>
      </c>
      <c r="D353" s="15" t="s">
        <v>35</v>
      </c>
      <c r="E353" s="15" t="s">
        <v>284</v>
      </c>
      <c r="F353" s="16" t="n">
        <v>1</v>
      </c>
      <c r="G353" s="16" t="n">
        <v>14</v>
      </c>
      <c r="H353" s="29" t="n">
        <v>4499.51</v>
      </c>
      <c r="I353" s="29" t="n">
        <f aca="false">H353/G353</f>
        <v>321.393571428571</v>
      </c>
      <c r="J353" s="15" t="s">
        <v>142</v>
      </c>
      <c r="K353" s="15" t="s">
        <v>143</v>
      </c>
    </row>
    <row r="354" customFormat="false" ht="18.75" hidden="false" customHeight="true" outlineLevel="0" collapsed="false">
      <c r="A354" s="10" t="s">
        <v>817</v>
      </c>
      <c r="B354" s="10" t="s">
        <v>818</v>
      </c>
      <c r="C354" s="10" t="s">
        <v>226</v>
      </c>
      <c r="D354" s="10" t="s">
        <v>36</v>
      </c>
      <c r="E354" s="10" t="s">
        <v>284</v>
      </c>
      <c r="F354" s="11" t="n">
        <v>34</v>
      </c>
      <c r="G354" s="11" t="n">
        <v>9</v>
      </c>
      <c r="H354" s="26" t="n">
        <v>4499.32</v>
      </c>
      <c r="I354" s="26" t="n">
        <f aca="false">H354/G354</f>
        <v>499.924444444444</v>
      </c>
      <c r="J354" s="10" t="s">
        <v>171</v>
      </c>
      <c r="K354" s="10" t="s">
        <v>172</v>
      </c>
    </row>
    <row r="355" customFormat="false" ht="18.75" hidden="false" customHeight="true" outlineLevel="0" collapsed="false">
      <c r="A355" s="15" t="s">
        <v>819</v>
      </c>
      <c r="B355" s="15" t="s">
        <v>820</v>
      </c>
      <c r="C355" s="15" t="s">
        <v>181</v>
      </c>
      <c r="D355" s="15" t="s">
        <v>36</v>
      </c>
      <c r="E355" s="15" t="s">
        <v>284</v>
      </c>
      <c r="F355" s="16" t="n">
        <v>20</v>
      </c>
      <c r="G355" s="16" t="n">
        <v>4</v>
      </c>
      <c r="H355" s="29" t="n">
        <v>4479.82</v>
      </c>
      <c r="I355" s="29" t="n">
        <f aca="false">H355/G355</f>
        <v>1119.955</v>
      </c>
      <c r="J355" s="15" t="s">
        <v>280</v>
      </c>
      <c r="K355" s="15" t="s">
        <v>281</v>
      </c>
    </row>
    <row r="356" customFormat="false" ht="18.75" hidden="false" customHeight="true" outlineLevel="0" collapsed="false">
      <c r="A356" s="10" t="s">
        <v>821</v>
      </c>
      <c r="B356" s="10" t="s">
        <v>480</v>
      </c>
      <c r="C356" s="10" t="s">
        <v>226</v>
      </c>
      <c r="D356" s="10" t="s">
        <v>36</v>
      </c>
      <c r="E356" s="10" t="s">
        <v>284</v>
      </c>
      <c r="F356" s="11" t="n">
        <v>43</v>
      </c>
      <c r="G356" s="11" t="n">
        <v>14</v>
      </c>
      <c r="H356" s="26" t="n">
        <v>4461.5</v>
      </c>
      <c r="I356" s="26" t="n">
        <f aca="false">H356/G356</f>
        <v>318.678571428572</v>
      </c>
      <c r="J356" s="10" t="s">
        <v>171</v>
      </c>
      <c r="K356" s="10" t="s">
        <v>172</v>
      </c>
    </row>
    <row r="357" customFormat="false" ht="18.75" hidden="false" customHeight="true" outlineLevel="0" collapsed="false">
      <c r="A357" s="15" t="s">
        <v>822</v>
      </c>
      <c r="B357" s="15" t="s">
        <v>252</v>
      </c>
      <c r="C357" s="15" t="s">
        <v>140</v>
      </c>
      <c r="D357" s="15" t="s">
        <v>35</v>
      </c>
      <c r="E357" s="15" t="s">
        <v>284</v>
      </c>
      <c r="F357" s="16" t="n">
        <v>82</v>
      </c>
      <c r="G357" s="16" t="n">
        <v>10</v>
      </c>
      <c r="H357" s="29" t="n">
        <v>4455.1</v>
      </c>
      <c r="I357" s="29" t="n">
        <f aca="false">H357/G357</f>
        <v>445.51</v>
      </c>
      <c r="J357" s="15" t="s">
        <v>189</v>
      </c>
      <c r="K357" s="15" t="s">
        <v>190</v>
      </c>
    </row>
    <row r="358" customFormat="false" ht="18.75" hidden="false" customHeight="true" outlineLevel="0" collapsed="false">
      <c r="A358" s="10" t="s">
        <v>823</v>
      </c>
      <c r="B358" s="10" t="s">
        <v>326</v>
      </c>
      <c r="C358" s="10" t="s">
        <v>207</v>
      </c>
      <c r="D358" s="10" t="s">
        <v>35</v>
      </c>
      <c r="E358" s="10" t="s">
        <v>284</v>
      </c>
      <c r="F358" s="11" t="n">
        <v>17</v>
      </c>
      <c r="G358" s="11" t="n">
        <v>11</v>
      </c>
      <c r="H358" s="26" t="n">
        <v>4396.1</v>
      </c>
      <c r="I358" s="26" t="n">
        <f aca="false">H358/G358</f>
        <v>399.645454545455</v>
      </c>
      <c r="J358" s="10" t="s">
        <v>142</v>
      </c>
      <c r="K358" s="10" t="s">
        <v>143</v>
      </c>
    </row>
    <row r="359" customFormat="false" ht="18.75" hidden="false" customHeight="true" outlineLevel="0" collapsed="false">
      <c r="A359" s="15" t="s">
        <v>824</v>
      </c>
      <c r="B359" s="15" t="s">
        <v>670</v>
      </c>
      <c r="C359" s="15" t="s">
        <v>216</v>
      </c>
      <c r="D359" s="15" t="s">
        <v>34</v>
      </c>
      <c r="E359" s="15" t="s">
        <v>284</v>
      </c>
      <c r="F359" s="16" t="n">
        <v>14</v>
      </c>
      <c r="G359" s="16" t="n">
        <v>14</v>
      </c>
      <c r="H359" s="29" t="n">
        <v>4389.22</v>
      </c>
      <c r="I359" s="29" t="n">
        <f aca="false">H359/G359</f>
        <v>313.515714285714</v>
      </c>
      <c r="J359" s="15" t="s">
        <v>142</v>
      </c>
      <c r="K359" s="15" t="s">
        <v>143</v>
      </c>
    </row>
    <row r="360" customFormat="false" ht="18.75" hidden="false" customHeight="true" outlineLevel="0" collapsed="false">
      <c r="A360" s="10" t="s">
        <v>825</v>
      </c>
      <c r="B360" s="10" t="s">
        <v>826</v>
      </c>
      <c r="C360" s="10" t="s">
        <v>166</v>
      </c>
      <c r="D360" s="10" t="s">
        <v>35</v>
      </c>
      <c r="E360" s="10" t="s">
        <v>284</v>
      </c>
      <c r="F360" s="11" t="n">
        <v>88</v>
      </c>
      <c r="G360" s="11" t="n">
        <v>4</v>
      </c>
      <c r="H360" s="26" t="n">
        <v>4375.52</v>
      </c>
      <c r="I360" s="26" t="n">
        <f aca="false">H360/G360</f>
        <v>1093.88</v>
      </c>
      <c r="J360" s="10" t="s">
        <v>253</v>
      </c>
      <c r="K360" s="10" t="s">
        <v>254</v>
      </c>
    </row>
    <row r="361" customFormat="false" ht="18.75" hidden="false" customHeight="true" outlineLevel="0" collapsed="false">
      <c r="A361" s="15" t="s">
        <v>827</v>
      </c>
      <c r="B361" s="15" t="s">
        <v>446</v>
      </c>
      <c r="C361" s="15" t="s">
        <v>163</v>
      </c>
      <c r="D361" s="15" t="s">
        <v>36</v>
      </c>
      <c r="E361" s="15" t="s">
        <v>384</v>
      </c>
      <c r="F361" s="16" t="n">
        <v>31</v>
      </c>
      <c r="G361" s="16" t="n">
        <v>9</v>
      </c>
      <c r="H361" s="29" t="n">
        <v>4363.89</v>
      </c>
      <c r="I361" s="29" t="n">
        <f aca="false">H361/G361</f>
        <v>484.876666666667</v>
      </c>
      <c r="J361" s="15" t="s">
        <v>171</v>
      </c>
      <c r="K361" s="15" t="s">
        <v>172</v>
      </c>
    </row>
    <row r="362" customFormat="false" ht="18.75" hidden="false" customHeight="true" outlineLevel="0" collapsed="false">
      <c r="A362" s="10" t="s">
        <v>828</v>
      </c>
      <c r="B362" s="10" t="s">
        <v>612</v>
      </c>
      <c r="C362" s="10" t="s">
        <v>226</v>
      </c>
      <c r="D362" s="10" t="s">
        <v>36</v>
      </c>
      <c r="E362" s="10" t="s">
        <v>284</v>
      </c>
      <c r="F362" s="11" t="n">
        <v>8</v>
      </c>
      <c r="G362" s="11" t="n">
        <v>9</v>
      </c>
      <c r="H362" s="26" t="n">
        <v>4361.18</v>
      </c>
      <c r="I362" s="26" t="n">
        <f aca="false">H362/G362</f>
        <v>484.575555555556</v>
      </c>
      <c r="J362" s="10" t="s">
        <v>142</v>
      </c>
      <c r="K362" s="10" t="s">
        <v>143</v>
      </c>
    </row>
    <row r="363" customFormat="false" ht="18.75" hidden="false" customHeight="true" outlineLevel="0" collapsed="false">
      <c r="A363" s="15" t="s">
        <v>829</v>
      </c>
      <c r="B363" s="15" t="s">
        <v>273</v>
      </c>
      <c r="C363" s="15" t="s">
        <v>184</v>
      </c>
      <c r="D363" s="15" t="s">
        <v>34</v>
      </c>
      <c r="E363" s="15" t="s">
        <v>284</v>
      </c>
      <c r="F363" s="16" t="n">
        <v>2</v>
      </c>
      <c r="G363" s="16" t="n">
        <v>9</v>
      </c>
      <c r="H363" s="29" t="n">
        <v>4354.03</v>
      </c>
      <c r="I363" s="29" t="n">
        <f aca="false">H363/G363</f>
        <v>483.781111111111</v>
      </c>
      <c r="J363" s="15" t="s">
        <v>142</v>
      </c>
      <c r="K363" s="15" t="s">
        <v>143</v>
      </c>
    </row>
    <row r="364" customFormat="false" ht="18.75" hidden="false" customHeight="true" outlineLevel="0" collapsed="false">
      <c r="A364" s="10" t="s">
        <v>830</v>
      </c>
      <c r="B364" s="10" t="s">
        <v>831</v>
      </c>
      <c r="C364" s="10" t="s">
        <v>160</v>
      </c>
      <c r="D364" s="10" t="s">
        <v>36</v>
      </c>
      <c r="E364" s="10" t="s">
        <v>284</v>
      </c>
      <c r="F364" s="11" t="n">
        <v>20</v>
      </c>
      <c r="G364" s="11" t="n">
        <v>14</v>
      </c>
      <c r="H364" s="26" t="n">
        <v>4340.53</v>
      </c>
      <c r="I364" s="26" t="n">
        <f aca="false">H364/G364</f>
        <v>310.037857142857</v>
      </c>
      <c r="J364" s="10" t="s">
        <v>142</v>
      </c>
      <c r="K364" s="10" t="s">
        <v>143</v>
      </c>
    </row>
    <row r="365" customFormat="false" ht="18.75" hidden="false" customHeight="true" outlineLevel="0" collapsed="false">
      <c r="A365" s="15" t="s">
        <v>832</v>
      </c>
      <c r="B365" s="15" t="s">
        <v>833</v>
      </c>
      <c r="C365" s="15" t="s">
        <v>146</v>
      </c>
      <c r="D365" s="15" t="s">
        <v>34</v>
      </c>
      <c r="E365" s="15" t="s">
        <v>284</v>
      </c>
      <c r="F365" s="16" t="n">
        <v>100</v>
      </c>
      <c r="G365" s="16" t="n">
        <v>4</v>
      </c>
      <c r="H365" s="29" t="n">
        <v>4339.65</v>
      </c>
      <c r="I365" s="29" t="n">
        <f aca="false">H365/G365</f>
        <v>1084.9125</v>
      </c>
      <c r="J365" s="15" t="s">
        <v>253</v>
      </c>
      <c r="K365" s="15" t="s">
        <v>254</v>
      </c>
    </row>
    <row r="366" customFormat="false" ht="18.75" hidden="false" customHeight="true" outlineLevel="0" collapsed="false">
      <c r="A366" s="10" t="s">
        <v>834</v>
      </c>
      <c r="B366" s="10" t="s">
        <v>835</v>
      </c>
      <c r="C366" s="10" t="s">
        <v>184</v>
      </c>
      <c r="D366" s="10" t="s">
        <v>34</v>
      </c>
      <c r="E366" s="10" t="s">
        <v>284</v>
      </c>
      <c r="F366" s="11" t="n">
        <v>8</v>
      </c>
      <c r="G366" s="11" t="n">
        <v>11</v>
      </c>
      <c r="H366" s="26" t="n">
        <v>4334.84</v>
      </c>
      <c r="I366" s="26" t="n">
        <f aca="false">H366/G366</f>
        <v>394.076363636364</v>
      </c>
      <c r="J366" s="10" t="s">
        <v>142</v>
      </c>
      <c r="K366" s="10" t="s">
        <v>143</v>
      </c>
    </row>
    <row r="367" customFormat="false" ht="18.75" hidden="false" customHeight="true" outlineLevel="0" collapsed="false">
      <c r="A367" s="15" t="s">
        <v>836</v>
      </c>
      <c r="B367" s="15" t="s">
        <v>692</v>
      </c>
      <c r="C367" s="15" t="s">
        <v>152</v>
      </c>
      <c r="D367" s="15" t="s">
        <v>35</v>
      </c>
      <c r="E367" s="15" t="s">
        <v>284</v>
      </c>
      <c r="F367" s="16" t="n">
        <v>42</v>
      </c>
      <c r="G367" s="16" t="n">
        <v>9</v>
      </c>
      <c r="H367" s="29" t="n">
        <v>4333.96</v>
      </c>
      <c r="I367" s="29" t="n">
        <f aca="false">H367/G367</f>
        <v>481.551111111111</v>
      </c>
      <c r="J367" s="15" t="s">
        <v>171</v>
      </c>
      <c r="K367" s="15" t="s">
        <v>172</v>
      </c>
    </row>
    <row r="368" customFormat="false" ht="18.75" hidden="false" customHeight="true" outlineLevel="0" collapsed="false">
      <c r="A368" s="10" t="s">
        <v>837</v>
      </c>
      <c r="B368" s="10" t="s">
        <v>838</v>
      </c>
      <c r="C368" s="10" t="s">
        <v>163</v>
      </c>
      <c r="D368" s="10" t="s">
        <v>36</v>
      </c>
      <c r="E368" s="10" t="s">
        <v>284</v>
      </c>
      <c r="F368" s="11" t="n">
        <v>143</v>
      </c>
      <c r="G368" s="11" t="n">
        <v>8</v>
      </c>
      <c r="H368" s="26" t="n">
        <v>4329.43</v>
      </c>
      <c r="I368" s="26" t="n">
        <f aca="false">H368/G368</f>
        <v>541.17875</v>
      </c>
      <c r="J368" s="10" t="s">
        <v>268</v>
      </c>
      <c r="K368" s="10" t="s">
        <v>269</v>
      </c>
    </row>
    <row r="369" customFormat="false" ht="18.75" hidden="false" customHeight="true" outlineLevel="0" collapsed="false">
      <c r="A369" s="15" t="s">
        <v>839</v>
      </c>
      <c r="B369" s="15" t="s">
        <v>840</v>
      </c>
      <c r="C369" s="15" t="s">
        <v>149</v>
      </c>
      <c r="D369" s="15" t="s">
        <v>35</v>
      </c>
      <c r="E369" s="15" t="s">
        <v>284</v>
      </c>
      <c r="F369" s="16" t="n">
        <v>14</v>
      </c>
      <c r="G369" s="16" t="n">
        <v>7</v>
      </c>
      <c r="H369" s="29" t="n">
        <v>4323.39</v>
      </c>
      <c r="I369" s="29" t="n">
        <f aca="false">H369/G369</f>
        <v>617.627142857143</v>
      </c>
      <c r="J369" s="15" t="s">
        <v>171</v>
      </c>
      <c r="K369" s="15" t="s">
        <v>172</v>
      </c>
    </row>
    <row r="370" customFormat="false" ht="18.75" hidden="false" customHeight="true" outlineLevel="0" collapsed="false">
      <c r="A370" s="10" t="s">
        <v>841</v>
      </c>
      <c r="B370" s="10" t="s">
        <v>842</v>
      </c>
      <c r="C370" s="10" t="s">
        <v>219</v>
      </c>
      <c r="D370" s="10" t="s">
        <v>35</v>
      </c>
      <c r="E370" s="10" t="s">
        <v>284</v>
      </c>
      <c r="F370" s="11" t="n">
        <v>9</v>
      </c>
      <c r="G370" s="11" t="n">
        <v>8</v>
      </c>
      <c r="H370" s="26" t="n">
        <v>4319.12</v>
      </c>
      <c r="I370" s="26" t="n">
        <f aca="false">H370/G370</f>
        <v>539.89</v>
      </c>
      <c r="J370" s="10" t="s">
        <v>142</v>
      </c>
      <c r="K370" s="10" t="s">
        <v>143</v>
      </c>
    </row>
    <row r="371" customFormat="false" ht="18.75" hidden="false" customHeight="true" outlineLevel="0" collapsed="false">
      <c r="A371" s="15" t="s">
        <v>843</v>
      </c>
      <c r="B371" s="15" t="s">
        <v>629</v>
      </c>
      <c r="C371" s="15" t="s">
        <v>140</v>
      </c>
      <c r="D371" s="15" t="s">
        <v>35</v>
      </c>
      <c r="E371" s="15" t="s">
        <v>284</v>
      </c>
      <c r="F371" s="16" t="n">
        <v>43</v>
      </c>
      <c r="G371" s="16" t="n">
        <v>10</v>
      </c>
      <c r="H371" s="29" t="n">
        <v>4303.57</v>
      </c>
      <c r="I371" s="29" t="n">
        <f aca="false">H371/G371</f>
        <v>430.357</v>
      </c>
      <c r="J371" s="15" t="s">
        <v>171</v>
      </c>
      <c r="K371" s="15" t="s">
        <v>172</v>
      </c>
    </row>
    <row r="372" customFormat="false" ht="18.75" hidden="false" customHeight="true" outlineLevel="0" collapsed="false">
      <c r="A372" s="10" t="s">
        <v>844</v>
      </c>
      <c r="B372" s="10" t="s">
        <v>835</v>
      </c>
      <c r="C372" s="10" t="s">
        <v>216</v>
      </c>
      <c r="D372" s="10" t="s">
        <v>34</v>
      </c>
      <c r="E372" s="10" t="s">
        <v>284</v>
      </c>
      <c r="F372" s="11" t="n">
        <v>18</v>
      </c>
      <c r="G372" s="11" t="n">
        <v>12</v>
      </c>
      <c r="H372" s="26" t="n">
        <v>4292.82</v>
      </c>
      <c r="I372" s="26" t="n">
        <f aca="false">H372/G372</f>
        <v>357.735</v>
      </c>
      <c r="J372" s="10" t="s">
        <v>142</v>
      </c>
      <c r="K372" s="10" t="s">
        <v>143</v>
      </c>
    </row>
    <row r="373" customFormat="false" ht="18.75" hidden="false" customHeight="true" outlineLevel="0" collapsed="false">
      <c r="A373" s="15" t="s">
        <v>845</v>
      </c>
      <c r="B373" s="15" t="s">
        <v>846</v>
      </c>
      <c r="C373" s="15" t="s">
        <v>163</v>
      </c>
      <c r="D373" s="15" t="s">
        <v>36</v>
      </c>
      <c r="E373" s="15" t="s">
        <v>141</v>
      </c>
      <c r="F373" s="16" t="n">
        <v>164</v>
      </c>
      <c r="G373" s="16" t="n">
        <v>3</v>
      </c>
      <c r="H373" s="29" t="n">
        <v>4280.76</v>
      </c>
      <c r="I373" s="29" t="n">
        <f aca="false">H373/G373</f>
        <v>1426.92</v>
      </c>
      <c r="J373" s="15" t="s">
        <v>253</v>
      </c>
      <c r="K373" s="15" t="s">
        <v>254</v>
      </c>
    </row>
    <row r="374" customFormat="false" ht="18.75" hidden="false" customHeight="true" outlineLevel="0" collapsed="false">
      <c r="A374" s="10" t="s">
        <v>847</v>
      </c>
      <c r="B374" s="10" t="s">
        <v>848</v>
      </c>
      <c r="C374" s="10" t="s">
        <v>149</v>
      </c>
      <c r="D374" s="10" t="s">
        <v>35</v>
      </c>
      <c r="E374" s="10" t="s">
        <v>284</v>
      </c>
      <c r="F374" s="11" t="n">
        <v>2</v>
      </c>
      <c r="G374" s="11" t="n">
        <v>11</v>
      </c>
      <c r="H374" s="26" t="n">
        <v>4275.33</v>
      </c>
      <c r="I374" s="26" t="n">
        <f aca="false">H374/G374</f>
        <v>388.666363636364</v>
      </c>
      <c r="J374" s="10" t="s">
        <v>142</v>
      </c>
      <c r="K374" s="10" t="s">
        <v>143</v>
      </c>
    </row>
    <row r="375" customFormat="false" ht="18.75" hidden="false" customHeight="true" outlineLevel="0" collapsed="false">
      <c r="A375" s="15" t="s">
        <v>849</v>
      </c>
      <c r="B375" s="15" t="s">
        <v>850</v>
      </c>
      <c r="C375" s="15" t="s">
        <v>149</v>
      </c>
      <c r="D375" s="15" t="s">
        <v>35</v>
      </c>
      <c r="E375" s="15" t="s">
        <v>284</v>
      </c>
      <c r="F375" s="16" t="n">
        <v>6</v>
      </c>
      <c r="G375" s="16" t="n">
        <v>8</v>
      </c>
      <c r="H375" s="29" t="n">
        <v>4263.87</v>
      </c>
      <c r="I375" s="29" t="n">
        <f aca="false">H375/G375</f>
        <v>532.98375</v>
      </c>
      <c r="J375" s="15" t="s">
        <v>142</v>
      </c>
      <c r="K375" s="15" t="s">
        <v>143</v>
      </c>
    </row>
    <row r="376" customFormat="false" ht="18.75" hidden="false" customHeight="true" outlineLevel="0" collapsed="false">
      <c r="A376" s="10" t="s">
        <v>851</v>
      </c>
      <c r="B376" s="10" t="s">
        <v>460</v>
      </c>
      <c r="C376" s="10" t="s">
        <v>226</v>
      </c>
      <c r="D376" s="10" t="s">
        <v>36</v>
      </c>
      <c r="E376" s="10" t="s">
        <v>284</v>
      </c>
      <c r="F376" s="11" t="n">
        <v>33</v>
      </c>
      <c r="G376" s="11" t="n">
        <v>9</v>
      </c>
      <c r="H376" s="26" t="n">
        <v>4262.41</v>
      </c>
      <c r="I376" s="26" t="n">
        <f aca="false">H376/G376</f>
        <v>473.601111111111</v>
      </c>
      <c r="J376" s="10" t="s">
        <v>171</v>
      </c>
      <c r="K376" s="10" t="s">
        <v>172</v>
      </c>
    </row>
    <row r="377" customFormat="false" ht="18.75" hidden="false" customHeight="true" outlineLevel="0" collapsed="false">
      <c r="A377" s="15" t="s">
        <v>852</v>
      </c>
      <c r="B377" s="15" t="s">
        <v>398</v>
      </c>
      <c r="C377" s="15" t="s">
        <v>216</v>
      </c>
      <c r="D377" s="15" t="s">
        <v>34</v>
      </c>
      <c r="E377" s="15" t="s">
        <v>384</v>
      </c>
      <c r="F377" s="16" t="n">
        <v>14</v>
      </c>
      <c r="G377" s="16" t="n">
        <v>9</v>
      </c>
      <c r="H377" s="29" t="n">
        <v>4261.61</v>
      </c>
      <c r="I377" s="29" t="n">
        <f aca="false">H377/G377</f>
        <v>473.512222222222</v>
      </c>
      <c r="J377" s="15" t="s">
        <v>142</v>
      </c>
      <c r="K377" s="15" t="s">
        <v>143</v>
      </c>
    </row>
    <row r="378" customFormat="false" ht="18.75" hidden="false" customHeight="true" outlineLevel="0" collapsed="false">
      <c r="A378" s="10" t="s">
        <v>853</v>
      </c>
      <c r="B378" s="10" t="s">
        <v>603</v>
      </c>
      <c r="C378" s="10" t="s">
        <v>146</v>
      </c>
      <c r="D378" s="10" t="s">
        <v>34</v>
      </c>
      <c r="E378" s="10" t="s">
        <v>284</v>
      </c>
      <c r="F378" s="11" t="n">
        <v>12</v>
      </c>
      <c r="G378" s="11" t="n">
        <v>7</v>
      </c>
      <c r="H378" s="26" t="n">
        <v>4259.42</v>
      </c>
      <c r="I378" s="26" t="n">
        <f aca="false">H378/G378</f>
        <v>608.488571428571</v>
      </c>
      <c r="J378" s="10" t="s">
        <v>171</v>
      </c>
      <c r="K378" s="10" t="s">
        <v>172</v>
      </c>
    </row>
    <row r="379" customFormat="false" ht="18.75" hidden="false" customHeight="true" outlineLevel="0" collapsed="false">
      <c r="A379" s="15" t="s">
        <v>854</v>
      </c>
      <c r="B379" s="15" t="s">
        <v>855</v>
      </c>
      <c r="C379" s="15" t="s">
        <v>140</v>
      </c>
      <c r="D379" s="15" t="s">
        <v>35</v>
      </c>
      <c r="E379" s="15" t="s">
        <v>284</v>
      </c>
      <c r="F379" s="16" t="n">
        <v>133</v>
      </c>
      <c r="G379" s="16" t="n">
        <v>3</v>
      </c>
      <c r="H379" s="29" t="n">
        <v>4256</v>
      </c>
      <c r="I379" s="29" t="n">
        <f aca="false">H379/G379</f>
        <v>1418.66666666667</v>
      </c>
      <c r="J379" s="15" t="s">
        <v>253</v>
      </c>
      <c r="K379" s="15" t="s">
        <v>254</v>
      </c>
    </row>
    <row r="380" customFormat="false" ht="18.75" hidden="false" customHeight="true" outlineLevel="0" collapsed="false">
      <c r="A380" s="10" t="s">
        <v>856</v>
      </c>
      <c r="B380" s="10" t="s">
        <v>696</v>
      </c>
      <c r="C380" s="10" t="s">
        <v>152</v>
      </c>
      <c r="D380" s="10" t="s">
        <v>35</v>
      </c>
      <c r="E380" s="10" t="s">
        <v>284</v>
      </c>
      <c r="F380" s="11" t="n">
        <v>28</v>
      </c>
      <c r="G380" s="11" t="n">
        <v>9</v>
      </c>
      <c r="H380" s="26" t="n">
        <v>4248.11</v>
      </c>
      <c r="I380" s="26" t="n">
        <f aca="false">H380/G380</f>
        <v>472.012222222222</v>
      </c>
      <c r="J380" s="10" t="s">
        <v>171</v>
      </c>
      <c r="K380" s="10" t="s">
        <v>172</v>
      </c>
    </row>
    <row r="381" customFormat="false" ht="18.75" hidden="false" customHeight="true" outlineLevel="0" collapsed="false">
      <c r="A381" s="15" t="s">
        <v>857</v>
      </c>
      <c r="B381" s="15" t="s">
        <v>196</v>
      </c>
      <c r="C381" s="15" t="s">
        <v>166</v>
      </c>
      <c r="D381" s="15" t="s">
        <v>35</v>
      </c>
      <c r="E381" s="15" t="s">
        <v>384</v>
      </c>
      <c r="F381" s="16" t="n">
        <v>36</v>
      </c>
      <c r="G381" s="16" t="n">
        <v>9</v>
      </c>
      <c r="H381" s="29" t="n">
        <v>4236.22</v>
      </c>
      <c r="I381" s="29" t="n">
        <f aca="false">H381/G381</f>
        <v>470.691111111111</v>
      </c>
      <c r="J381" s="15" t="s">
        <v>171</v>
      </c>
      <c r="K381" s="15" t="s">
        <v>172</v>
      </c>
    </row>
    <row r="382" customFormat="false" ht="18.75" hidden="false" customHeight="true" outlineLevel="0" collapsed="false">
      <c r="A382" s="10" t="s">
        <v>858</v>
      </c>
      <c r="B382" s="10" t="s">
        <v>859</v>
      </c>
      <c r="C382" s="10" t="s">
        <v>160</v>
      </c>
      <c r="D382" s="10" t="s">
        <v>36</v>
      </c>
      <c r="E382" s="10" t="s">
        <v>284</v>
      </c>
      <c r="F382" s="11" t="n">
        <v>0</v>
      </c>
      <c r="G382" s="11" t="n">
        <v>9</v>
      </c>
      <c r="H382" s="26" t="n">
        <v>4214.93</v>
      </c>
      <c r="I382" s="26" t="n">
        <f aca="false">H382/G382</f>
        <v>468.325555555555</v>
      </c>
      <c r="J382" s="10" t="s">
        <v>142</v>
      </c>
      <c r="K382" s="10" t="s">
        <v>143</v>
      </c>
    </row>
    <row r="383" customFormat="false" ht="18.75" hidden="false" customHeight="true" outlineLevel="0" collapsed="false">
      <c r="A383" s="15" t="s">
        <v>860</v>
      </c>
      <c r="B383" s="15" t="s">
        <v>861</v>
      </c>
      <c r="C383" s="15" t="s">
        <v>152</v>
      </c>
      <c r="D383" s="15" t="s">
        <v>35</v>
      </c>
      <c r="E383" s="15" t="s">
        <v>284</v>
      </c>
      <c r="F383" s="16" t="n">
        <v>143</v>
      </c>
      <c r="G383" s="16" t="n">
        <v>5</v>
      </c>
      <c r="H383" s="29" t="n">
        <v>4214.76</v>
      </c>
      <c r="I383" s="29" t="n">
        <f aca="false">H383/G383</f>
        <v>842.952</v>
      </c>
      <c r="J383" s="15" t="s">
        <v>268</v>
      </c>
      <c r="K383" s="15" t="s">
        <v>269</v>
      </c>
    </row>
    <row r="384" customFormat="false" ht="18.75" hidden="false" customHeight="true" outlineLevel="0" collapsed="false">
      <c r="A384" s="10" t="s">
        <v>862</v>
      </c>
      <c r="B384" s="10" t="s">
        <v>629</v>
      </c>
      <c r="C384" s="10" t="s">
        <v>146</v>
      </c>
      <c r="D384" s="10" t="s">
        <v>34</v>
      </c>
      <c r="E384" s="10" t="s">
        <v>284</v>
      </c>
      <c r="F384" s="11" t="n">
        <v>104</v>
      </c>
      <c r="G384" s="11" t="n">
        <v>9</v>
      </c>
      <c r="H384" s="26" t="n">
        <v>4214</v>
      </c>
      <c r="I384" s="26" t="n">
        <f aca="false">H384/G384</f>
        <v>468.222222222222</v>
      </c>
      <c r="J384" s="10" t="s">
        <v>189</v>
      </c>
      <c r="K384" s="10" t="s">
        <v>190</v>
      </c>
    </row>
    <row r="385" customFormat="false" ht="18.75" hidden="false" customHeight="true" outlineLevel="0" collapsed="false">
      <c r="A385" s="15" t="s">
        <v>863</v>
      </c>
      <c r="B385" s="15" t="s">
        <v>236</v>
      </c>
      <c r="C385" s="15" t="s">
        <v>219</v>
      </c>
      <c r="D385" s="15" t="s">
        <v>35</v>
      </c>
      <c r="E385" s="15" t="s">
        <v>284</v>
      </c>
      <c r="F385" s="16" t="n">
        <v>0</v>
      </c>
      <c r="G385" s="16" t="n">
        <v>10</v>
      </c>
      <c r="H385" s="29" t="n">
        <v>4197.66</v>
      </c>
      <c r="I385" s="29" t="n">
        <f aca="false">H385/G385</f>
        <v>419.766</v>
      </c>
      <c r="J385" s="15" t="s">
        <v>142</v>
      </c>
      <c r="K385" s="15" t="s">
        <v>143</v>
      </c>
    </row>
    <row r="386" customFormat="false" ht="18.75" hidden="false" customHeight="true" outlineLevel="0" collapsed="false">
      <c r="A386" s="10" t="s">
        <v>864</v>
      </c>
      <c r="B386" s="10" t="s">
        <v>652</v>
      </c>
      <c r="C386" s="10" t="s">
        <v>140</v>
      </c>
      <c r="D386" s="10" t="s">
        <v>35</v>
      </c>
      <c r="E386" s="10" t="s">
        <v>284</v>
      </c>
      <c r="F386" s="11" t="n">
        <v>1</v>
      </c>
      <c r="G386" s="11" t="n">
        <v>14</v>
      </c>
      <c r="H386" s="26" t="n">
        <v>4188.7</v>
      </c>
      <c r="I386" s="26" t="n">
        <f aca="false">H386/G386</f>
        <v>299.192857142857</v>
      </c>
      <c r="J386" s="10" t="s">
        <v>142</v>
      </c>
      <c r="K386" s="10" t="s">
        <v>143</v>
      </c>
    </row>
    <row r="387" customFormat="false" ht="18.75" hidden="false" customHeight="true" outlineLevel="0" collapsed="false">
      <c r="A387" s="15" t="s">
        <v>865</v>
      </c>
      <c r="B387" s="15" t="s">
        <v>866</v>
      </c>
      <c r="C387" s="15" t="s">
        <v>199</v>
      </c>
      <c r="D387" s="15" t="s">
        <v>36</v>
      </c>
      <c r="E387" s="15" t="s">
        <v>284</v>
      </c>
      <c r="F387" s="16" t="n">
        <v>9</v>
      </c>
      <c r="G387" s="16" t="n">
        <v>6</v>
      </c>
      <c r="H387" s="29" t="n">
        <v>4154.91</v>
      </c>
      <c r="I387" s="29" t="n">
        <f aca="false">H387/G387</f>
        <v>692.485</v>
      </c>
      <c r="J387" s="15" t="s">
        <v>171</v>
      </c>
      <c r="K387" s="15" t="s">
        <v>172</v>
      </c>
    </row>
    <row r="388" customFormat="false" ht="18.75" hidden="false" customHeight="true" outlineLevel="0" collapsed="false">
      <c r="A388" s="10" t="s">
        <v>867</v>
      </c>
      <c r="B388" s="10" t="s">
        <v>868</v>
      </c>
      <c r="C388" s="10" t="s">
        <v>199</v>
      </c>
      <c r="D388" s="10" t="s">
        <v>36</v>
      </c>
      <c r="E388" s="10" t="s">
        <v>284</v>
      </c>
      <c r="F388" s="11" t="n">
        <v>32</v>
      </c>
      <c r="G388" s="11" t="n">
        <v>8</v>
      </c>
      <c r="H388" s="26" t="n">
        <v>4127.41</v>
      </c>
      <c r="I388" s="26" t="n">
        <f aca="false">H388/G388</f>
        <v>515.92625</v>
      </c>
      <c r="J388" s="10" t="s">
        <v>171</v>
      </c>
      <c r="K388" s="10" t="s">
        <v>172</v>
      </c>
    </row>
    <row r="389" customFormat="false" ht="18.75" hidden="false" customHeight="true" outlineLevel="0" collapsed="false">
      <c r="A389" s="15" t="s">
        <v>869</v>
      </c>
      <c r="B389" s="15" t="s">
        <v>870</v>
      </c>
      <c r="C389" s="15" t="s">
        <v>140</v>
      </c>
      <c r="D389" s="15" t="s">
        <v>35</v>
      </c>
      <c r="E389" s="15" t="s">
        <v>284</v>
      </c>
      <c r="F389" s="16" t="n">
        <v>46</v>
      </c>
      <c r="G389" s="16" t="n">
        <v>10</v>
      </c>
      <c r="H389" s="29" t="n">
        <v>4125.2</v>
      </c>
      <c r="I389" s="29" t="n">
        <f aca="false">H389/G389</f>
        <v>412.52</v>
      </c>
      <c r="J389" s="15" t="s">
        <v>171</v>
      </c>
      <c r="K389" s="15" t="s">
        <v>172</v>
      </c>
    </row>
    <row r="390" customFormat="false" ht="18.75" hidden="false" customHeight="true" outlineLevel="0" collapsed="false">
      <c r="A390" s="10" t="s">
        <v>871</v>
      </c>
      <c r="B390" s="10" t="s">
        <v>350</v>
      </c>
      <c r="C390" s="10" t="s">
        <v>140</v>
      </c>
      <c r="D390" s="10" t="s">
        <v>35</v>
      </c>
      <c r="E390" s="10" t="s">
        <v>284</v>
      </c>
      <c r="F390" s="11" t="n">
        <v>7</v>
      </c>
      <c r="G390" s="11" t="n">
        <v>11</v>
      </c>
      <c r="H390" s="26" t="n">
        <v>4123.31</v>
      </c>
      <c r="I390" s="26" t="n">
        <f aca="false">H390/G390</f>
        <v>374.846363636364</v>
      </c>
      <c r="J390" s="10" t="s">
        <v>142</v>
      </c>
      <c r="K390" s="10" t="s">
        <v>143</v>
      </c>
    </row>
    <row r="391" customFormat="false" ht="18.75" hidden="false" customHeight="true" outlineLevel="0" collapsed="false">
      <c r="A391" s="15" t="s">
        <v>872</v>
      </c>
      <c r="B391" s="15" t="s">
        <v>873</v>
      </c>
      <c r="C391" s="15" t="s">
        <v>207</v>
      </c>
      <c r="D391" s="15" t="s">
        <v>35</v>
      </c>
      <c r="E391" s="15" t="s">
        <v>284</v>
      </c>
      <c r="F391" s="16" t="n">
        <v>12</v>
      </c>
      <c r="G391" s="16" t="n">
        <v>11</v>
      </c>
      <c r="H391" s="29" t="n">
        <v>4112.1</v>
      </c>
      <c r="I391" s="29" t="n">
        <f aca="false">H391/G391</f>
        <v>373.827272727273</v>
      </c>
      <c r="J391" s="15" t="s">
        <v>142</v>
      </c>
      <c r="K391" s="15" t="s">
        <v>143</v>
      </c>
    </row>
    <row r="392" customFormat="false" ht="18.75" hidden="false" customHeight="true" outlineLevel="0" collapsed="false">
      <c r="A392" s="10" t="s">
        <v>874</v>
      </c>
      <c r="B392" s="10" t="s">
        <v>770</v>
      </c>
      <c r="C392" s="10" t="s">
        <v>152</v>
      </c>
      <c r="D392" s="10" t="s">
        <v>35</v>
      </c>
      <c r="E392" s="10" t="s">
        <v>384</v>
      </c>
      <c r="F392" s="11" t="n">
        <v>74</v>
      </c>
      <c r="G392" s="11" t="n">
        <v>6</v>
      </c>
      <c r="H392" s="26" t="n">
        <v>4106.59</v>
      </c>
      <c r="I392" s="26" t="n">
        <f aca="false">H392/G392</f>
        <v>684.431666666667</v>
      </c>
      <c r="J392" s="10" t="s">
        <v>189</v>
      </c>
      <c r="K392" s="10" t="s">
        <v>190</v>
      </c>
    </row>
    <row r="393" customFormat="false" ht="18.75" hidden="false" customHeight="true" outlineLevel="0" collapsed="false">
      <c r="A393" s="15" t="s">
        <v>875</v>
      </c>
      <c r="B393" s="15" t="s">
        <v>567</v>
      </c>
      <c r="C393" s="15" t="s">
        <v>160</v>
      </c>
      <c r="D393" s="15" t="s">
        <v>36</v>
      </c>
      <c r="E393" s="15" t="s">
        <v>284</v>
      </c>
      <c r="F393" s="16" t="n">
        <v>24</v>
      </c>
      <c r="G393" s="16" t="n">
        <v>9</v>
      </c>
      <c r="H393" s="29" t="n">
        <v>4101.87</v>
      </c>
      <c r="I393" s="29" t="n">
        <f aca="false">H393/G393</f>
        <v>455.763333333333</v>
      </c>
      <c r="J393" s="15" t="s">
        <v>142</v>
      </c>
      <c r="K393" s="15" t="s">
        <v>143</v>
      </c>
    </row>
    <row r="394" customFormat="false" ht="18.75" hidden="false" customHeight="true" outlineLevel="0" collapsed="false">
      <c r="A394" s="10" t="s">
        <v>876</v>
      </c>
      <c r="B394" s="10" t="s">
        <v>468</v>
      </c>
      <c r="C394" s="10" t="s">
        <v>181</v>
      </c>
      <c r="D394" s="10" t="s">
        <v>36</v>
      </c>
      <c r="E394" s="10" t="s">
        <v>284</v>
      </c>
      <c r="F394" s="11" t="n">
        <v>42</v>
      </c>
      <c r="G394" s="11" t="n">
        <v>8</v>
      </c>
      <c r="H394" s="26" t="n">
        <v>4092.89</v>
      </c>
      <c r="I394" s="26" t="n">
        <f aca="false">H394/G394</f>
        <v>511.61125</v>
      </c>
      <c r="J394" s="10" t="s">
        <v>171</v>
      </c>
      <c r="K394" s="10" t="s">
        <v>172</v>
      </c>
    </row>
    <row r="395" customFormat="false" ht="18.75" hidden="false" customHeight="true" outlineLevel="0" collapsed="false">
      <c r="A395" s="15" t="s">
        <v>877</v>
      </c>
      <c r="B395" s="15" t="s">
        <v>148</v>
      </c>
      <c r="C395" s="15" t="s">
        <v>216</v>
      </c>
      <c r="D395" s="15" t="s">
        <v>34</v>
      </c>
      <c r="E395" s="15" t="s">
        <v>284</v>
      </c>
      <c r="F395" s="16" t="n">
        <v>33</v>
      </c>
      <c r="G395" s="16" t="n">
        <v>4</v>
      </c>
      <c r="H395" s="29" t="n">
        <v>4086</v>
      </c>
      <c r="I395" s="29" t="n">
        <f aca="false">H395/G395</f>
        <v>1021.5</v>
      </c>
      <c r="J395" s="15" t="s">
        <v>280</v>
      </c>
      <c r="K395" s="15" t="s">
        <v>281</v>
      </c>
    </row>
    <row r="396" customFormat="false" ht="18.75" hidden="false" customHeight="true" outlineLevel="0" collapsed="false">
      <c r="A396" s="10" t="s">
        <v>878</v>
      </c>
      <c r="B396" s="10" t="s">
        <v>879</v>
      </c>
      <c r="C396" s="10" t="s">
        <v>226</v>
      </c>
      <c r="D396" s="10" t="s">
        <v>36</v>
      </c>
      <c r="E396" s="10" t="s">
        <v>384</v>
      </c>
      <c r="F396" s="11" t="n">
        <v>12</v>
      </c>
      <c r="G396" s="11" t="n">
        <v>13</v>
      </c>
      <c r="H396" s="26" t="n">
        <v>4076.8</v>
      </c>
      <c r="I396" s="26" t="n">
        <f aca="false">H396/G396</f>
        <v>313.6</v>
      </c>
      <c r="J396" s="10" t="s">
        <v>142</v>
      </c>
      <c r="K396" s="10" t="s">
        <v>143</v>
      </c>
    </row>
    <row r="397" customFormat="false" ht="18.75" hidden="false" customHeight="true" outlineLevel="0" collapsed="false">
      <c r="A397" s="15" t="s">
        <v>880</v>
      </c>
      <c r="B397" s="15" t="s">
        <v>242</v>
      </c>
      <c r="C397" s="15" t="s">
        <v>140</v>
      </c>
      <c r="D397" s="15" t="s">
        <v>35</v>
      </c>
      <c r="E397" s="15" t="s">
        <v>284</v>
      </c>
      <c r="F397" s="16" t="n">
        <v>18</v>
      </c>
      <c r="G397" s="16" t="n">
        <v>11</v>
      </c>
      <c r="H397" s="29" t="n">
        <v>4065.08</v>
      </c>
      <c r="I397" s="29" t="n">
        <f aca="false">H397/G397</f>
        <v>369.552727272727</v>
      </c>
      <c r="J397" s="15" t="s">
        <v>142</v>
      </c>
      <c r="K397" s="15" t="s">
        <v>143</v>
      </c>
    </row>
    <row r="398" customFormat="false" ht="18.75" hidden="false" customHeight="true" outlineLevel="0" collapsed="false">
      <c r="A398" s="10" t="s">
        <v>881</v>
      </c>
      <c r="B398" s="10" t="s">
        <v>882</v>
      </c>
      <c r="C398" s="10" t="s">
        <v>152</v>
      </c>
      <c r="D398" s="10" t="s">
        <v>35</v>
      </c>
      <c r="E398" s="10" t="s">
        <v>284</v>
      </c>
      <c r="F398" s="11" t="n">
        <v>41</v>
      </c>
      <c r="G398" s="11" t="n">
        <v>7</v>
      </c>
      <c r="H398" s="26" t="n">
        <v>4062.34</v>
      </c>
      <c r="I398" s="26" t="n">
        <f aca="false">H398/G398</f>
        <v>580.334285714286</v>
      </c>
      <c r="J398" s="10" t="s">
        <v>171</v>
      </c>
      <c r="K398" s="10" t="s">
        <v>172</v>
      </c>
    </row>
    <row r="399" customFormat="false" ht="18.75" hidden="false" customHeight="true" outlineLevel="0" collapsed="false">
      <c r="A399" s="15" t="s">
        <v>883</v>
      </c>
      <c r="B399" s="15" t="s">
        <v>884</v>
      </c>
      <c r="C399" s="15" t="s">
        <v>207</v>
      </c>
      <c r="D399" s="15" t="s">
        <v>35</v>
      </c>
      <c r="E399" s="15" t="s">
        <v>284</v>
      </c>
      <c r="F399" s="16" t="n">
        <v>18</v>
      </c>
      <c r="G399" s="16" t="n">
        <v>6</v>
      </c>
      <c r="H399" s="29" t="n">
        <v>4055.28</v>
      </c>
      <c r="I399" s="29" t="n">
        <f aca="false">H399/G399</f>
        <v>675.88</v>
      </c>
      <c r="J399" s="15" t="s">
        <v>171</v>
      </c>
      <c r="K399" s="15" t="s">
        <v>172</v>
      </c>
    </row>
    <row r="400" customFormat="false" ht="18.75" hidden="false" customHeight="true" outlineLevel="0" collapsed="false">
      <c r="A400" s="10" t="s">
        <v>885</v>
      </c>
      <c r="B400" s="10" t="s">
        <v>886</v>
      </c>
      <c r="C400" s="10" t="s">
        <v>226</v>
      </c>
      <c r="D400" s="10" t="s">
        <v>36</v>
      </c>
      <c r="E400" s="10" t="s">
        <v>284</v>
      </c>
      <c r="F400" s="11" t="n">
        <v>26</v>
      </c>
      <c r="G400" s="11" t="n">
        <v>10</v>
      </c>
      <c r="H400" s="26" t="n">
        <v>4053.7</v>
      </c>
      <c r="I400" s="26" t="n">
        <f aca="false">H400/G400</f>
        <v>405.37</v>
      </c>
      <c r="J400" s="10" t="s">
        <v>171</v>
      </c>
      <c r="K400" s="10" t="s">
        <v>172</v>
      </c>
    </row>
    <row r="401" customFormat="false" ht="18.75" hidden="false" customHeight="true" outlineLevel="0" collapsed="false">
      <c r="A401" s="15" t="s">
        <v>887</v>
      </c>
      <c r="B401" s="15" t="s">
        <v>888</v>
      </c>
      <c r="C401" s="15" t="s">
        <v>163</v>
      </c>
      <c r="D401" s="15" t="s">
        <v>36</v>
      </c>
      <c r="E401" s="15" t="s">
        <v>284</v>
      </c>
      <c r="F401" s="16" t="n">
        <v>57</v>
      </c>
      <c r="G401" s="16" t="n">
        <v>9</v>
      </c>
      <c r="H401" s="29" t="n">
        <v>4044.35</v>
      </c>
      <c r="I401" s="29" t="n">
        <f aca="false">H401/G401</f>
        <v>449.372222222222</v>
      </c>
      <c r="J401" s="15" t="s">
        <v>189</v>
      </c>
      <c r="K401" s="15" t="s">
        <v>190</v>
      </c>
    </row>
    <row r="402" customFormat="false" ht="18.75" hidden="false" customHeight="true" outlineLevel="0" collapsed="false">
      <c r="A402" s="10" t="s">
        <v>889</v>
      </c>
      <c r="B402" s="10" t="s">
        <v>890</v>
      </c>
      <c r="C402" s="10" t="s">
        <v>160</v>
      </c>
      <c r="D402" s="10" t="s">
        <v>36</v>
      </c>
      <c r="E402" s="10" t="s">
        <v>284</v>
      </c>
      <c r="F402" s="11" t="n">
        <v>28</v>
      </c>
      <c r="G402" s="11" t="n">
        <v>8</v>
      </c>
      <c r="H402" s="26" t="n">
        <v>4044.27</v>
      </c>
      <c r="I402" s="26" t="n">
        <f aca="false">H402/G402</f>
        <v>505.53375</v>
      </c>
      <c r="J402" s="10" t="s">
        <v>171</v>
      </c>
      <c r="K402" s="10" t="s">
        <v>172</v>
      </c>
    </row>
    <row r="403" customFormat="false" ht="18.75" hidden="false" customHeight="true" outlineLevel="0" collapsed="false">
      <c r="A403" s="15" t="s">
        <v>891</v>
      </c>
      <c r="B403" s="15" t="s">
        <v>892</v>
      </c>
      <c r="C403" s="15" t="s">
        <v>184</v>
      </c>
      <c r="D403" s="15" t="s">
        <v>34</v>
      </c>
      <c r="E403" s="15" t="s">
        <v>284</v>
      </c>
      <c r="F403" s="16" t="n">
        <v>49</v>
      </c>
      <c r="G403" s="16" t="n">
        <v>7</v>
      </c>
      <c r="H403" s="29" t="n">
        <v>4015.3</v>
      </c>
      <c r="I403" s="29" t="n">
        <f aca="false">H403/G403</f>
        <v>573.614285714286</v>
      </c>
      <c r="J403" s="15" t="s">
        <v>189</v>
      </c>
      <c r="K403" s="15" t="s">
        <v>190</v>
      </c>
    </row>
    <row r="404" customFormat="false" ht="18.75" hidden="false" customHeight="true" outlineLevel="0" collapsed="false">
      <c r="A404" s="10" t="s">
        <v>893</v>
      </c>
      <c r="B404" s="10" t="s">
        <v>894</v>
      </c>
      <c r="C404" s="10" t="s">
        <v>219</v>
      </c>
      <c r="D404" s="10" t="s">
        <v>35</v>
      </c>
      <c r="E404" s="10" t="s">
        <v>284</v>
      </c>
      <c r="F404" s="11" t="n">
        <v>32</v>
      </c>
      <c r="G404" s="11" t="n">
        <v>8</v>
      </c>
      <c r="H404" s="26" t="n">
        <v>4009.44</v>
      </c>
      <c r="I404" s="26" t="n">
        <f aca="false">H404/G404</f>
        <v>501.18</v>
      </c>
      <c r="J404" s="10" t="s">
        <v>171</v>
      </c>
      <c r="K404" s="10" t="s">
        <v>172</v>
      </c>
    </row>
    <row r="405" customFormat="false" ht="18.75" hidden="false" customHeight="true" outlineLevel="0" collapsed="false">
      <c r="A405" s="15" t="s">
        <v>895</v>
      </c>
      <c r="B405" s="15" t="s">
        <v>896</v>
      </c>
      <c r="C405" s="15" t="s">
        <v>152</v>
      </c>
      <c r="D405" s="15" t="s">
        <v>35</v>
      </c>
      <c r="E405" s="15" t="s">
        <v>284</v>
      </c>
      <c r="F405" s="16" t="n">
        <v>2</v>
      </c>
      <c r="G405" s="16" t="n">
        <v>7</v>
      </c>
      <c r="H405" s="29" t="n">
        <v>3964.45</v>
      </c>
      <c r="I405" s="29" t="n">
        <f aca="false">H405/G405</f>
        <v>566.35</v>
      </c>
      <c r="J405" s="15" t="s">
        <v>171</v>
      </c>
      <c r="K405" s="15" t="s">
        <v>172</v>
      </c>
    </row>
    <row r="406" customFormat="false" ht="18.75" hidden="false" customHeight="true" outlineLevel="0" collapsed="false">
      <c r="A406" s="10" t="s">
        <v>897</v>
      </c>
      <c r="B406" s="10" t="s">
        <v>766</v>
      </c>
      <c r="C406" s="10" t="s">
        <v>219</v>
      </c>
      <c r="D406" s="10" t="s">
        <v>35</v>
      </c>
      <c r="E406" s="10" t="s">
        <v>284</v>
      </c>
      <c r="F406" s="11" t="n">
        <v>8</v>
      </c>
      <c r="G406" s="11" t="n">
        <v>8</v>
      </c>
      <c r="H406" s="26" t="n">
        <v>3949.98</v>
      </c>
      <c r="I406" s="26" t="n">
        <f aca="false">H406/G406</f>
        <v>493.7475</v>
      </c>
      <c r="J406" s="10" t="s">
        <v>142</v>
      </c>
      <c r="K406" s="10" t="s">
        <v>143</v>
      </c>
    </row>
    <row r="407" customFormat="false" ht="18.75" hidden="false" customHeight="true" outlineLevel="0" collapsed="false">
      <c r="A407" s="15" t="s">
        <v>898</v>
      </c>
      <c r="B407" s="15" t="s">
        <v>899</v>
      </c>
      <c r="C407" s="15" t="s">
        <v>155</v>
      </c>
      <c r="D407" s="15" t="s">
        <v>34</v>
      </c>
      <c r="E407" s="15" t="s">
        <v>284</v>
      </c>
      <c r="F407" s="16" t="n">
        <v>37</v>
      </c>
      <c r="G407" s="16" t="n">
        <v>12</v>
      </c>
      <c r="H407" s="29" t="n">
        <v>3947.78</v>
      </c>
      <c r="I407" s="29" t="n">
        <f aca="false">H407/G407</f>
        <v>328.981666666667</v>
      </c>
      <c r="J407" s="15" t="s">
        <v>171</v>
      </c>
      <c r="K407" s="15" t="s">
        <v>172</v>
      </c>
    </row>
    <row r="408" customFormat="false" ht="18.75" hidden="false" customHeight="true" outlineLevel="0" collapsed="false">
      <c r="A408" s="10" t="s">
        <v>900</v>
      </c>
      <c r="B408" s="10" t="s">
        <v>901</v>
      </c>
      <c r="C408" s="10" t="s">
        <v>166</v>
      </c>
      <c r="D408" s="10" t="s">
        <v>35</v>
      </c>
      <c r="E408" s="10" t="s">
        <v>284</v>
      </c>
      <c r="F408" s="11" t="n">
        <v>25</v>
      </c>
      <c r="G408" s="11" t="n">
        <v>9</v>
      </c>
      <c r="H408" s="26" t="n">
        <v>3946.7</v>
      </c>
      <c r="I408" s="26" t="n">
        <f aca="false">H408/G408</f>
        <v>438.522222222222</v>
      </c>
      <c r="J408" s="10" t="s">
        <v>171</v>
      </c>
      <c r="K408" s="10" t="s">
        <v>172</v>
      </c>
    </row>
    <row r="409" customFormat="false" ht="18.75" hidden="false" customHeight="true" outlineLevel="0" collapsed="false">
      <c r="A409" s="15" t="s">
        <v>902</v>
      </c>
      <c r="B409" s="15" t="s">
        <v>748</v>
      </c>
      <c r="C409" s="15" t="s">
        <v>163</v>
      </c>
      <c r="D409" s="15" t="s">
        <v>36</v>
      </c>
      <c r="E409" s="15" t="s">
        <v>284</v>
      </c>
      <c r="F409" s="16" t="n">
        <v>43</v>
      </c>
      <c r="G409" s="16" t="n">
        <v>9</v>
      </c>
      <c r="H409" s="29" t="n">
        <v>3935.5</v>
      </c>
      <c r="I409" s="29" t="n">
        <f aca="false">H409/G409</f>
        <v>437.277777777778</v>
      </c>
      <c r="J409" s="15" t="s">
        <v>171</v>
      </c>
      <c r="K409" s="15" t="s">
        <v>172</v>
      </c>
    </row>
    <row r="410" customFormat="false" ht="18.75" hidden="false" customHeight="true" outlineLevel="0" collapsed="false">
      <c r="A410" s="10" t="s">
        <v>903</v>
      </c>
      <c r="B410" s="10" t="s">
        <v>904</v>
      </c>
      <c r="C410" s="10" t="s">
        <v>207</v>
      </c>
      <c r="D410" s="10" t="s">
        <v>35</v>
      </c>
      <c r="E410" s="10" t="s">
        <v>384</v>
      </c>
      <c r="F410" s="11" t="n">
        <v>8</v>
      </c>
      <c r="G410" s="11" t="n">
        <v>12</v>
      </c>
      <c r="H410" s="26" t="n">
        <v>3929.63</v>
      </c>
      <c r="I410" s="26" t="n">
        <f aca="false">H410/G410</f>
        <v>327.469166666667</v>
      </c>
      <c r="J410" s="10" t="s">
        <v>142</v>
      </c>
      <c r="K410" s="10" t="s">
        <v>143</v>
      </c>
    </row>
    <row r="411" customFormat="false" ht="18.75" hidden="false" customHeight="true" outlineLevel="0" collapsed="false">
      <c r="A411" s="15" t="s">
        <v>905</v>
      </c>
      <c r="B411" s="15" t="s">
        <v>906</v>
      </c>
      <c r="C411" s="15" t="s">
        <v>216</v>
      </c>
      <c r="D411" s="15" t="s">
        <v>34</v>
      </c>
      <c r="E411" s="15" t="s">
        <v>284</v>
      </c>
      <c r="F411" s="16" t="n">
        <v>90</v>
      </c>
      <c r="G411" s="16" t="n">
        <v>10</v>
      </c>
      <c r="H411" s="29" t="n">
        <v>3928.65</v>
      </c>
      <c r="I411" s="29" t="n">
        <f aca="false">H411/G411</f>
        <v>392.865</v>
      </c>
      <c r="J411" s="15" t="s">
        <v>189</v>
      </c>
      <c r="K411" s="15" t="s">
        <v>190</v>
      </c>
    </row>
    <row r="412" customFormat="false" ht="18.75" hidden="false" customHeight="true" outlineLevel="0" collapsed="false">
      <c r="A412" s="10" t="s">
        <v>907</v>
      </c>
      <c r="B412" s="10" t="s">
        <v>908</v>
      </c>
      <c r="C412" s="10" t="s">
        <v>146</v>
      </c>
      <c r="D412" s="10" t="s">
        <v>34</v>
      </c>
      <c r="E412" s="10" t="s">
        <v>284</v>
      </c>
      <c r="F412" s="11" t="n">
        <v>39</v>
      </c>
      <c r="G412" s="11" t="n">
        <v>10</v>
      </c>
      <c r="H412" s="26" t="n">
        <v>3915</v>
      </c>
      <c r="I412" s="26" t="n">
        <f aca="false">H412/G412</f>
        <v>391.5</v>
      </c>
      <c r="J412" s="10" t="s">
        <v>171</v>
      </c>
      <c r="K412" s="10" t="s">
        <v>172</v>
      </c>
    </row>
    <row r="413" customFormat="false" ht="18.75" hidden="false" customHeight="true" outlineLevel="0" collapsed="false">
      <c r="A413" s="15" t="s">
        <v>909</v>
      </c>
      <c r="B413" s="15" t="s">
        <v>910</v>
      </c>
      <c r="C413" s="15" t="s">
        <v>152</v>
      </c>
      <c r="D413" s="15" t="s">
        <v>35</v>
      </c>
      <c r="E413" s="15" t="s">
        <v>384</v>
      </c>
      <c r="F413" s="16" t="n">
        <v>1</v>
      </c>
      <c r="G413" s="16" t="n">
        <v>9</v>
      </c>
      <c r="H413" s="29" t="n">
        <v>3898.03</v>
      </c>
      <c r="I413" s="29" t="n">
        <f aca="false">H413/G413</f>
        <v>433.114444444445</v>
      </c>
      <c r="J413" s="15" t="s">
        <v>142</v>
      </c>
      <c r="K413" s="15" t="s">
        <v>143</v>
      </c>
    </row>
    <row r="414" customFormat="false" ht="18.75" hidden="false" customHeight="true" outlineLevel="0" collapsed="false">
      <c r="A414" s="10" t="s">
        <v>911</v>
      </c>
      <c r="B414" s="10" t="s">
        <v>912</v>
      </c>
      <c r="C414" s="10" t="s">
        <v>160</v>
      </c>
      <c r="D414" s="10" t="s">
        <v>36</v>
      </c>
      <c r="E414" s="10" t="s">
        <v>284</v>
      </c>
      <c r="F414" s="11" t="n">
        <v>60</v>
      </c>
      <c r="G414" s="11" t="n">
        <v>6</v>
      </c>
      <c r="H414" s="26" t="n">
        <v>3894.26</v>
      </c>
      <c r="I414" s="26" t="n">
        <f aca="false">H414/G414</f>
        <v>649.043333333333</v>
      </c>
      <c r="J414" s="10" t="s">
        <v>189</v>
      </c>
      <c r="K414" s="10" t="s">
        <v>190</v>
      </c>
    </row>
    <row r="415" customFormat="false" ht="18.75" hidden="false" customHeight="true" outlineLevel="0" collapsed="false">
      <c r="A415" s="15" t="s">
        <v>913</v>
      </c>
      <c r="B415" s="15" t="s">
        <v>914</v>
      </c>
      <c r="C415" s="15" t="s">
        <v>226</v>
      </c>
      <c r="D415" s="15" t="s">
        <v>36</v>
      </c>
      <c r="E415" s="15" t="s">
        <v>284</v>
      </c>
      <c r="F415" s="16" t="n">
        <v>81</v>
      </c>
      <c r="G415" s="16" t="n">
        <v>7</v>
      </c>
      <c r="H415" s="29" t="n">
        <v>3889.15</v>
      </c>
      <c r="I415" s="29" t="n">
        <f aca="false">H415/G415</f>
        <v>555.592857142857</v>
      </c>
      <c r="J415" s="15" t="s">
        <v>189</v>
      </c>
      <c r="K415" s="15" t="s">
        <v>190</v>
      </c>
    </row>
    <row r="416" customFormat="false" ht="18.75" hidden="false" customHeight="true" outlineLevel="0" collapsed="false">
      <c r="A416" s="10" t="s">
        <v>915</v>
      </c>
      <c r="B416" s="10" t="s">
        <v>186</v>
      </c>
      <c r="C416" s="10" t="s">
        <v>216</v>
      </c>
      <c r="D416" s="10" t="s">
        <v>34</v>
      </c>
      <c r="E416" s="10" t="s">
        <v>284</v>
      </c>
      <c r="F416" s="11" t="n">
        <v>32</v>
      </c>
      <c r="G416" s="11" t="n">
        <v>5</v>
      </c>
      <c r="H416" s="26" t="n">
        <v>3870.67</v>
      </c>
      <c r="I416" s="26" t="n">
        <f aca="false">H416/G416</f>
        <v>774.134</v>
      </c>
      <c r="J416" s="10" t="s">
        <v>171</v>
      </c>
      <c r="K416" s="10" t="s">
        <v>172</v>
      </c>
    </row>
    <row r="417" customFormat="false" ht="18.75" hidden="false" customHeight="true" outlineLevel="0" collapsed="false">
      <c r="A417" s="15" t="s">
        <v>916</v>
      </c>
      <c r="B417" s="15" t="s">
        <v>636</v>
      </c>
      <c r="C417" s="15" t="s">
        <v>184</v>
      </c>
      <c r="D417" s="15" t="s">
        <v>34</v>
      </c>
      <c r="E417" s="15" t="s">
        <v>284</v>
      </c>
      <c r="F417" s="16" t="n">
        <v>47</v>
      </c>
      <c r="G417" s="16" t="n">
        <v>7</v>
      </c>
      <c r="H417" s="29" t="n">
        <v>3863.77</v>
      </c>
      <c r="I417" s="29" t="n">
        <f aca="false">H417/G417</f>
        <v>551.967142857143</v>
      </c>
      <c r="J417" s="15" t="s">
        <v>171</v>
      </c>
      <c r="K417" s="15" t="s">
        <v>172</v>
      </c>
    </row>
    <row r="418" customFormat="false" ht="18.75" hidden="false" customHeight="true" outlineLevel="0" collapsed="false">
      <c r="A418" s="10" t="s">
        <v>917</v>
      </c>
      <c r="B418" s="10" t="s">
        <v>918</v>
      </c>
      <c r="C418" s="10" t="s">
        <v>149</v>
      </c>
      <c r="D418" s="10" t="s">
        <v>35</v>
      </c>
      <c r="E418" s="10" t="s">
        <v>284</v>
      </c>
      <c r="F418" s="11" t="n">
        <v>32</v>
      </c>
      <c r="G418" s="11" t="n">
        <v>9</v>
      </c>
      <c r="H418" s="26" t="n">
        <v>3861.75</v>
      </c>
      <c r="I418" s="26" t="n">
        <f aca="false">H418/G418</f>
        <v>429.083333333333</v>
      </c>
      <c r="J418" s="10" t="s">
        <v>171</v>
      </c>
      <c r="K418" s="10" t="s">
        <v>172</v>
      </c>
    </row>
    <row r="419" customFormat="false" ht="18.75" hidden="false" customHeight="true" outlineLevel="0" collapsed="false">
      <c r="A419" s="15" t="s">
        <v>919</v>
      </c>
      <c r="B419" s="15" t="s">
        <v>920</v>
      </c>
      <c r="C419" s="15" t="s">
        <v>152</v>
      </c>
      <c r="D419" s="15" t="s">
        <v>35</v>
      </c>
      <c r="E419" s="15" t="s">
        <v>284</v>
      </c>
      <c r="F419" s="16" t="n">
        <v>72</v>
      </c>
      <c r="G419" s="16" t="n">
        <v>5</v>
      </c>
      <c r="H419" s="29" t="n">
        <v>3846.8</v>
      </c>
      <c r="I419" s="29" t="n">
        <f aca="false">H419/G419</f>
        <v>769.36</v>
      </c>
      <c r="J419" s="15" t="s">
        <v>189</v>
      </c>
      <c r="K419" s="15" t="s">
        <v>190</v>
      </c>
    </row>
    <row r="420" customFormat="false" ht="18.75" hidden="false" customHeight="true" outlineLevel="0" collapsed="false">
      <c r="A420" s="10" t="s">
        <v>921</v>
      </c>
      <c r="B420" s="10" t="s">
        <v>567</v>
      </c>
      <c r="C420" s="10" t="s">
        <v>155</v>
      </c>
      <c r="D420" s="10" t="s">
        <v>34</v>
      </c>
      <c r="E420" s="10" t="s">
        <v>141</v>
      </c>
      <c r="F420" s="11" t="n">
        <v>250</v>
      </c>
      <c r="G420" s="11" t="n">
        <v>2</v>
      </c>
      <c r="H420" s="26" t="n">
        <v>3841</v>
      </c>
      <c r="I420" s="26" t="n">
        <f aca="false">H420/G420</f>
        <v>1920.5</v>
      </c>
      <c r="J420" s="10" t="s">
        <v>253</v>
      </c>
      <c r="K420" s="10" t="s">
        <v>254</v>
      </c>
    </row>
    <row r="421" customFormat="false" ht="18.75" hidden="false" customHeight="true" outlineLevel="0" collapsed="false">
      <c r="A421" s="15" t="s">
        <v>922</v>
      </c>
      <c r="B421" s="15" t="s">
        <v>923</v>
      </c>
      <c r="C421" s="15" t="s">
        <v>146</v>
      </c>
      <c r="D421" s="15" t="s">
        <v>34</v>
      </c>
      <c r="E421" s="15" t="s">
        <v>384</v>
      </c>
      <c r="F421" s="16" t="n">
        <v>25</v>
      </c>
      <c r="G421" s="16" t="n">
        <v>9</v>
      </c>
      <c r="H421" s="29" t="n">
        <v>3839.73</v>
      </c>
      <c r="I421" s="29" t="n">
        <f aca="false">H421/G421</f>
        <v>426.636666666667</v>
      </c>
      <c r="J421" s="15" t="s">
        <v>171</v>
      </c>
      <c r="K421" s="15" t="s">
        <v>172</v>
      </c>
    </row>
    <row r="422" customFormat="false" ht="18.75" hidden="false" customHeight="true" outlineLevel="0" collapsed="false">
      <c r="A422" s="10" t="s">
        <v>924</v>
      </c>
      <c r="B422" s="10" t="s">
        <v>925</v>
      </c>
      <c r="C422" s="10" t="s">
        <v>207</v>
      </c>
      <c r="D422" s="10" t="s">
        <v>35</v>
      </c>
      <c r="E422" s="10" t="s">
        <v>284</v>
      </c>
      <c r="F422" s="11" t="n">
        <v>37</v>
      </c>
      <c r="G422" s="11" t="n">
        <v>9</v>
      </c>
      <c r="H422" s="26" t="n">
        <v>3838.85</v>
      </c>
      <c r="I422" s="26" t="n">
        <f aca="false">H422/G422</f>
        <v>426.538888888889</v>
      </c>
      <c r="J422" s="10" t="s">
        <v>171</v>
      </c>
      <c r="K422" s="10" t="s">
        <v>172</v>
      </c>
    </row>
    <row r="423" customFormat="false" ht="18.75" hidden="false" customHeight="true" outlineLevel="0" collapsed="false">
      <c r="A423" s="15" t="s">
        <v>926</v>
      </c>
      <c r="B423" s="15" t="s">
        <v>927</v>
      </c>
      <c r="C423" s="15" t="s">
        <v>160</v>
      </c>
      <c r="D423" s="15" t="s">
        <v>36</v>
      </c>
      <c r="E423" s="15" t="s">
        <v>284</v>
      </c>
      <c r="F423" s="16" t="n">
        <v>19</v>
      </c>
      <c r="G423" s="16" t="n">
        <v>12</v>
      </c>
      <c r="H423" s="29" t="n">
        <v>3832.5</v>
      </c>
      <c r="I423" s="29" t="n">
        <f aca="false">H423/G423</f>
        <v>319.375</v>
      </c>
      <c r="J423" s="15" t="s">
        <v>142</v>
      </c>
      <c r="K423" s="15" t="s">
        <v>143</v>
      </c>
    </row>
    <row r="424" customFormat="false" ht="18.75" hidden="false" customHeight="true" outlineLevel="0" collapsed="false">
      <c r="A424" s="10" t="s">
        <v>928</v>
      </c>
      <c r="B424" s="10" t="s">
        <v>929</v>
      </c>
      <c r="C424" s="10" t="s">
        <v>140</v>
      </c>
      <c r="D424" s="10" t="s">
        <v>35</v>
      </c>
      <c r="E424" s="10" t="s">
        <v>284</v>
      </c>
      <c r="F424" s="11" t="n">
        <v>168</v>
      </c>
      <c r="G424" s="11" t="n">
        <v>6</v>
      </c>
      <c r="H424" s="26" t="n">
        <v>3825.89</v>
      </c>
      <c r="I424" s="26" t="n">
        <f aca="false">H424/G424</f>
        <v>637.648333333333</v>
      </c>
      <c r="J424" s="10" t="s">
        <v>268</v>
      </c>
      <c r="K424" s="10" t="s">
        <v>269</v>
      </c>
    </row>
    <row r="425" customFormat="false" ht="18.75" hidden="false" customHeight="true" outlineLevel="0" collapsed="false">
      <c r="A425" s="15" t="s">
        <v>930</v>
      </c>
      <c r="B425" s="15" t="s">
        <v>931</v>
      </c>
      <c r="C425" s="15" t="s">
        <v>199</v>
      </c>
      <c r="D425" s="15" t="s">
        <v>36</v>
      </c>
      <c r="E425" s="15" t="s">
        <v>284</v>
      </c>
      <c r="F425" s="16" t="n">
        <v>0</v>
      </c>
      <c r="G425" s="16" t="n">
        <v>11</v>
      </c>
      <c r="H425" s="29" t="n">
        <v>3823.51</v>
      </c>
      <c r="I425" s="29" t="n">
        <f aca="false">H425/G425</f>
        <v>347.591818181818</v>
      </c>
      <c r="J425" s="15" t="s">
        <v>142</v>
      </c>
      <c r="K425" s="15" t="s">
        <v>143</v>
      </c>
    </row>
    <row r="426" customFormat="false" ht="18.75" hidden="false" customHeight="true" outlineLevel="0" collapsed="false">
      <c r="A426" s="10" t="s">
        <v>932</v>
      </c>
      <c r="B426" s="10" t="s">
        <v>705</v>
      </c>
      <c r="C426" s="10" t="s">
        <v>181</v>
      </c>
      <c r="D426" s="10" t="s">
        <v>36</v>
      </c>
      <c r="E426" s="10" t="s">
        <v>284</v>
      </c>
      <c r="F426" s="11" t="n">
        <v>1</v>
      </c>
      <c r="G426" s="11" t="n">
        <v>8</v>
      </c>
      <c r="H426" s="26" t="n">
        <v>3798.43</v>
      </c>
      <c r="I426" s="26" t="n">
        <f aca="false">H426/G426</f>
        <v>474.80375</v>
      </c>
      <c r="J426" s="10" t="s">
        <v>142</v>
      </c>
      <c r="K426" s="10" t="s">
        <v>143</v>
      </c>
    </row>
    <row r="427" customFormat="false" ht="18.75" hidden="false" customHeight="true" outlineLevel="0" collapsed="false">
      <c r="A427" s="15" t="s">
        <v>933</v>
      </c>
      <c r="B427" s="15" t="s">
        <v>934</v>
      </c>
      <c r="C427" s="15" t="s">
        <v>146</v>
      </c>
      <c r="D427" s="15" t="s">
        <v>34</v>
      </c>
      <c r="E427" s="15" t="s">
        <v>284</v>
      </c>
      <c r="F427" s="16" t="n">
        <v>10</v>
      </c>
      <c r="G427" s="16" t="n">
        <v>4</v>
      </c>
      <c r="H427" s="29" t="n">
        <v>3793.68</v>
      </c>
      <c r="I427" s="29" t="n">
        <f aca="false">H427/G427</f>
        <v>948.42</v>
      </c>
      <c r="J427" s="15" t="s">
        <v>280</v>
      </c>
      <c r="K427" s="15" t="s">
        <v>281</v>
      </c>
    </row>
    <row r="428" customFormat="false" ht="18.75" hidden="false" customHeight="true" outlineLevel="0" collapsed="false">
      <c r="A428" s="10" t="s">
        <v>935</v>
      </c>
      <c r="B428" s="10" t="s">
        <v>936</v>
      </c>
      <c r="C428" s="10" t="s">
        <v>163</v>
      </c>
      <c r="D428" s="10" t="s">
        <v>36</v>
      </c>
      <c r="E428" s="10" t="s">
        <v>384</v>
      </c>
      <c r="F428" s="11" t="n">
        <v>72</v>
      </c>
      <c r="G428" s="11" t="n">
        <v>7</v>
      </c>
      <c r="H428" s="26" t="n">
        <v>3791.34</v>
      </c>
      <c r="I428" s="26" t="n">
        <f aca="false">H428/G428</f>
        <v>541.62</v>
      </c>
      <c r="J428" s="10" t="s">
        <v>189</v>
      </c>
      <c r="K428" s="10" t="s">
        <v>190</v>
      </c>
    </row>
    <row r="429" customFormat="false" ht="18.75" hidden="false" customHeight="true" outlineLevel="0" collapsed="false">
      <c r="A429" s="15" t="s">
        <v>937</v>
      </c>
      <c r="B429" s="15" t="s">
        <v>674</v>
      </c>
      <c r="C429" s="15" t="s">
        <v>140</v>
      </c>
      <c r="D429" s="15" t="s">
        <v>35</v>
      </c>
      <c r="E429" s="15" t="s">
        <v>284</v>
      </c>
      <c r="F429" s="16" t="n">
        <v>42</v>
      </c>
      <c r="G429" s="16" t="n">
        <v>4</v>
      </c>
      <c r="H429" s="29" t="n">
        <v>3788.95</v>
      </c>
      <c r="I429" s="29" t="n">
        <f aca="false">H429/G429</f>
        <v>947.2375</v>
      </c>
      <c r="J429" s="15" t="s">
        <v>280</v>
      </c>
      <c r="K429" s="15" t="s">
        <v>281</v>
      </c>
    </row>
    <row r="430" customFormat="false" ht="18.75" hidden="false" customHeight="true" outlineLevel="0" collapsed="false">
      <c r="A430" s="10" t="s">
        <v>938</v>
      </c>
      <c r="B430" s="10" t="s">
        <v>939</v>
      </c>
      <c r="C430" s="10" t="s">
        <v>152</v>
      </c>
      <c r="D430" s="10" t="s">
        <v>35</v>
      </c>
      <c r="E430" s="10" t="s">
        <v>284</v>
      </c>
      <c r="F430" s="11" t="n">
        <v>5</v>
      </c>
      <c r="G430" s="11" t="n">
        <v>8</v>
      </c>
      <c r="H430" s="26" t="n">
        <v>3778.65</v>
      </c>
      <c r="I430" s="26" t="n">
        <f aca="false">H430/G430</f>
        <v>472.33125</v>
      </c>
      <c r="J430" s="10" t="s">
        <v>171</v>
      </c>
      <c r="K430" s="10" t="s">
        <v>172</v>
      </c>
    </row>
    <row r="431" customFormat="false" ht="18.75" hidden="false" customHeight="true" outlineLevel="0" collapsed="false">
      <c r="A431" s="15" t="s">
        <v>940</v>
      </c>
      <c r="B431" s="15" t="s">
        <v>941</v>
      </c>
      <c r="C431" s="15" t="s">
        <v>160</v>
      </c>
      <c r="D431" s="15" t="s">
        <v>36</v>
      </c>
      <c r="E431" s="15" t="s">
        <v>284</v>
      </c>
      <c r="F431" s="16" t="n">
        <v>10</v>
      </c>
      <c r="G431" s="16" t="n">
        <v>10</v>
      </c>
      <c r="H431" s="29" t="n">
        <v>3768.77</v>
      </c>
      <c r="I431" s="29" t="n">
        <f aca="false">H431/G431</f>
        <v>376.877</v>
      </c>
      <c r="J431" s="15" t="s">
        <v>171</v>
      </c>
      <c r="K431" s="15" t="s">
        <v>172</v>
      </c>
    </row>
    <row r="432" customFormat="false" ht="18.75" hidden="false" customHeight="true" outlineLevel="0" collapsed="false">
      <c r="A432" s="10" t="s">
        <v>942</v>
      </c>
      <c r="B432" s="10" t="s">
        <v>943</v>
      </c>
      <c r="C432" s="10" t="s">
        <v>181</v>
      </c>
      <c r="D432" s="10" t="s">
        <v>36</v>
      </c>
      <c r="E432" s="10" t="s">
        <v>284</v>
      </c>
      <c r="F432" s="11" t="n">
        <v>93</v>
      </c>
      <c r="G432" s="11" t="n">
        <v>7</v>
      </c>
      <c r="H432" s="26" t="n">
        <v>3765.36</v>
      </c>
      <c r="I432" s="26" t="n">
        <f aca="false">H432/G432</f>
        <v>537.908571428572</v>
      </c>
      <c r="J432" s="10" t="s">
        <v>189</v>
      </c>
      <c r="K432" s="10" t="s">
        <v>190</v>
      </c>
    </row>
    <row r="433" customFormat="false" ht="18.75" hidden="false" customHeight="true" outlineLevel="0" collapsed="false">
      <c r="A433" s="15" t="s">
        <v>944</v>
      </c>
      <c r="B433" s="15" t="s">
        <v>945</v>
      </c>
      <c r="C433" s="15" t="s">
        <v>163</v>
      </c>
      <c r="D433" s="15" t="s">
        <v>36</v>
      </c>
      <c r="E433" s="15" t="s">
        <v>284</v>
      </c>
      <c r="F433" s="16" t="n">
        <v>29</v>
      </c>
      <c r="G433" s="16" t="n">
        <v>8</v>
      </c>
      <c r="H433" s="29" t="n">
        <v>3761.5</v>
      </c>
      <c r="I433" s="29" t="n">
        <f aca="false">H433/G433</f>
        <v>470.1875</v>
      </c>
      <c r="J433" s="15" t="s">
        <v>171</v>
      </c>
      <c r="K433" s="15" t="s">
        <v>172</v>
      </c>
    </row>
    <row r="434" customFormat="false" ht="18.75" hidden="false" customHeight="true" outlineLevel="0" collapsed="false">
      <c r="A434" s="10" t="s">
        <v>946</v>
      </c>
      <c r="B434" s="10" t="s">
        <v>848</v>
      </c>
      <c r="C434" s="10" t="s">
        <v>163</v>
      </c>
      <c r="D434" s="10" t="s">
        <v>36</v>
      </c>
      <c r="E434" s="10" t="s">
        <v>384</v>
      </c>
      <c r="F434" s="11" t="n">
        <v>18</v>
      </c>
      <c r="G434" s="11" t="n">
        <v>5</v>
      </c>
      <c r="H434" s="26" t="n">
        <v>3759.85</v>
      </c>
      <c r="I434" s="26" t="n">
        <f aca="false">H434/G434</f>
        <v>751.97</v>
      </c>
      <c r="J434" s="10" t="s">
        <v>171</v>
      </c>
      <c r="K434" s="10" t="s">
        <v>172</v>
      </c>
    </row>
    <row r="435" customFormat="false" ht="18.75" hidden="false" customHeight="true" outlineLevel="0" collapsed="false">
      <c r="A435" s="15" t="s">
        <v>947</v>
      </c>
      <c r="B435" s="15" t="s">
        <v>571</v>
      </c>
      <c r="C435" s="15" t="s">
        <v>160</v>
      </c>
      <c r="D435" s="15" t="s">
        <v>36</v>
      </c>
      <c r="E435" s="15" t="s">
        <v>284</v>
      </c>
      <c r="F435" s="16" t="n">
        <v>2</v>
      </c>
      <c r="G435" s="16" t="n">
        <v>7</v>
      </c>
      <c r="H435" s="29" t="n">
        <v>3754.29</v>
      </c>
      <c r="I435" s="29" t="n">
        <f aca="false">H435/G435</f>
        <v>536.327142857143</v>
      </c>
      <c r="J435" s="15" t="s">
        <v>171</v>
      </c>
      <c r="K435" s="15" t="s">
        <v>172</v>
      </c>
    </row>
    <row r="436" customFormat="false" ht="18.75" hidden="false" customHeight="true" outlineLevel="0" collapsed="false">
      <c r="A436" s="10" t="s">
        <v>948</v>
      </c>
      <c r="B436" s="10" t="s">
        <v>949</v>
      </c>
      <c r="C436" s="10" t="s">
        <v>149</v>
      </c>
      <c r="D436" s="10" t="s">
        <v>35</v>
      </c>
      <c r="E436" s="10" t="s">
        <v>284</v>
      </c>
      <c r="F436" s="11" t="n">
        <v>42</v>
      </c>
      <c r="G436" s="11" t="n">
        <v>11</v>
      </c>
      <c r="H436" s="26" t="n">
        <v>3711.03</v>
      </c>
      <c r="I436" s="26" t="n">
        <f aca="false">H436/G436</f>
        <v>337.366363636364</v>
      </c>
      <c r="J436" s="10" t="s">
        <v>171</v>
      </c>
      <c r="K436" s="10" t="s">
        <v>172</v>
      </c>
    </row>
    <row r="437" customFormat="false" ht="18.75" hidden="false" customHeight="true" outlineLevel="0" collapsed="false">
      <c r="A437" s="15" t="s">
        <v>950</v>
      </c>
      <c r="B437" s="15" t="s">
        <v>672</v>
      </c>
      <c r="C437" s="15" t="s">
        <v>166</v>
      </c>
      <c r="D437" s="15" t="s">
        <v>35</v>
      </c>
      <c r="E437" s="15" t="s">
        <v>284</v>
      </c>
      <c r="F437" s="16" t="n">
        <v>48</v>
      </c>
      <c r="G437" s="16" t="n">
        <v>5</v>
      </c>
      <c r="H437" s="29" t="n">
        <v>3708.62</v>
      </c>
      <c r="I437" s="29" t="n">
        <f aca="false">H437/G437</f>
        <v>741.724</v>
      </c>
      <c r="J437" s="15" t="s">
        <v>171</v>
      </c>
      <c r="K437" s="15" t="s">
        <v>172</v>
      </c>
    </row>
    <row r="438" customFormat="false" ht="18.75" hidden="false" customHeight="true" outlineLevel="0" collapsed="false">
      <c r="A438" s="10" t="s">
        <v>951</v>
      </c>
      <c r="B438" s="10" t="s">
        <v>952</v>
      </c>
      <c r="C438" s="10" t="s">
        <v>163</v>
      </c>
      <c r="D438" s="10" t="s">
        <v>36</v>
      </c>
      <c r="E438" s="10" t="s">
        <v>284</v>
      </c>
      <c r="F438" s="11" t="n">
        <v>13</v>
      </c>
      <c r="G438" s="11" t="n">
        <v>6</v>
      </c>
      <c r="H438" s="26" t="n">
        <v>3701.51</v>
      </c>
      <c r="I438" s="26" t="n">
        <f aca="false">H438/G438</f>
        <v>616.918333333333</v>
      </c>
      <c r="J438" s="10" t="s">
        <v>171</v>
      </c>
      <c r="K438" s="10" t="s">
        <v>172</v>
      </c>
    </row>
    <row r="439" customFormat="false" ht="18.75" hidden="false" customHeight="true" outlineLevel="0" collapsed="false">
      <c r="A439" s="15" t="s">
        <v>953</v>
      </c>
      <c r="B439" s="15" t="s">
        <v>381</v>
      </c>
      <c r="C439" s="15" t="s">
        <v>152</v>
      </c>
      <c r="D439" s="15" t="s">
        <v>35</v>
      </c>
      <c r="E439" s="15" t="s">
        <v>284</v>
      </c>
      <c r="F439" s="16" t="n">
        <v>17</v>
      </c>
      <c r="G439" s="16" t="n">
        <v>10</v>
      </c>
      <c r="H439" s="29" t="n">
        <v>3698.56</v>
      </c>
      <c r="I439" s="29" t="n">
        <f aca="false">H439/G439</f>
        <v>369.856</v>
      </c>
      <c r="J439" s="15" t="s">
        <v>171</v>
      </c>
      <c r="K439" s="15" t="s">
        <v>172</v>
      </c>
    </row>
    <row r="440" customFormat="false" ht="18.75" hidden="false" customHeight="true" outlineLevel="0" collapsed="false">
      <c r="A440" s="10" t="s">
        <v>954</v>
      </c>
      <c r="B440" s="10" t="s">
        <v>955</v>
      </c>
      <c r="C440" s="10" t="s">
        <v>163</v>
      </c>
      <c r="D440" s="10" t="s">
        <v>36</v>
      </c>
      <c r="E440" s="10" t="s">
        <v>284</v>
      </c>
      <c r="F440" s="11" t="n">
        <v>30</v>
      </c>
      <c r="G440" s="11" t="n">
        <v>8</v>
      </c>
      <c r="H440" s="26" t="n">
        <v>3684.94</v>
      </c>
      <c r="I440" s="26" t="n">
        <f aca="false">H440/G440</f>
        <v>460.6175</v>
      </c>
      <c r="J440" s="10" t="s">
        <v>171</v>
      </c>
      <c r="K440" s="10" t="s">
        <v>172</v>
      </c>
    </row>
    <row r="441" customFormat="false" ht="18.75" hidden="false" customHeight="true" outlineLevel="0" collapsed="false">
      <c r="A441" s="15" t="s">
        <v>956</v>
      </c>
      <c r="B441" s="15" t="s">
        <v>476</v>
      </c>
      <c r="C441" s="15" t="s">
        <v>155</v>
      </c>
      <c r="D441" s="15" t="s">
        <v>34</v>
      </c>
      <c r="E441" s="15" t="s">
        <v>284</v>
      </c>
      <c r="F441" s="16" t="n">
        <v>101</v>
      </c>
      <c r="G441" s="16" t="n">
        <v>11</v>
      </c>
      <c r="H441" s="29" t="n">
        <v>3683.85</v>
      </c>
      <c r="I441" s="29" t="n">
        <f aca="false">H441/G441</f>
        <v>334.895454545455</v>
      </c>
      <c r="J441" s="15" t="s">
        <v>189</v>
      </c>
      <c r="K441" s="15" t="s">
        <v>190</v>
      </c>
    </row>
    <row r="442" customFormat="false" ht="18.75" hidden="false" customHeight="true" outlineLevel="0" collapsed="false">
      <c r="A442" s="10" t="s">
        <v>957</v>
      </c>
      <c r="B442" s="10" t="s">
        <v>958</v>
      </c>
      <c r="C442" s="10" t="s">
        <v>207</v>
      </c>
      <c r="D442" s="10" t="s">
        <v>35</v>
      </c>
      <c r="E442" s="10" t="s">
        <v>284</v>
      </c>
      <c r="F442" s="11" t="n">
        <v>5</v>
      </c>
      <c r="G442" s="11" t="n">
        <v>10</v>
      </c>
      <c r="H442" s="26" t="n">
        <v>3668.38</v>
      </c>
      <c r="I442" s="26" t="n">
        <f aca="false">H442/G442</f>
        <v>366.838</v>
      </c>
      <c r="J442" s="10" t="s">
        <v>171</v>
      </c>
      <c r="K442" s="10" t="s">
        <v>172</v>
      </c>
    </row>
    <row r="443" customFormat="false" ht="18.75" hidden="false" customHeight="true" outlineLevel="0" collapsed="false">
      <c r="A443" s="15" t="s">
        <v>959</v>
      </c>
      <c r="B443" s="15" t="s">
        <v>960</v>
      </c>
      <c r="C443" s="15" t="s">
        <v>219</v>
      </c>
      <c r="D443" s="15" t="s">
        <v>35</v>
      </c>
      <c r="E443" s="15" t="s">
        <v>284</v>
      </c>
      <c r="F443" s="16" t="n">
        <v>1</v>
      </c>
      <c r="G443" s="16" t="n">
        <v>10</v>
      </c>
      <c r="H443" s="29" t="n">
        <v>3664.44</v>
      </c>
      <c r="I443" s="29" t="n">
        <f aca="false">H443/G443</f>
        <v>366.444</v>
      </c>
      <c r="J443" s="15" t="s">
        <v>171</v>
      </c>
      <c r="K443" s="15" t="s">
        <v>172</v>
      </c>
    </row>
    <row r="444" customFormat="false" ht="18.75" hidden="false" customHeight="true" outlineLevel="0" collapsed="false">
      <c r="A444" s="10" t="s">
        <v>961</v>
      </c>
      <c r="B444" s="10" t="s">
        <v>962</v>
      </c>
      <c r="C444" s="10" t="s">
        <v>207</v>
      </c>
      <c r="D444" s="10" t="s">
        <v>35</v>
      </c>
      <c r="E444" s="10" t="s">
        <v>284</v>
      </c>
      <c r="F444" s="11" t="n">
        <v>18</v>
      </c>
      <c r="G444" s="11" t="n">
        <v>8</v>
      </c>
      <c r="H444" s="26" t="n">
        <v>3653.85</v>
      </c>
      <c r="I444" s="26" t="n">
        <f aca="false">H444/G444</f>
        <v>456.73125</v>
      </c>
      <c r="J444" s="10" t="s">
        <v>171</v>
      </c>
      <c r="K444" s="10" t="s">
        <v>172</v>
      </c>
    </row>
    <row r="445" customFormat="false" ht="18.75" hidden="false" customHeight="true" outlineLevel="0" collapsed="false">
      <c r="A445" s="15" t="s">
        <v>963</v>
      </c>
      <c r="B445" s="15" t="s">
        <v>964</v>
      </c>
      <c r="C445" s="15" t="s">
        <v>155</v>
      </c>
      <c r="D445" s="15" t="s">
        <v>34</v>
      </c>
      <c r="E445" s="15" t="s">
        <v>284</v>
      </c>
      <c r="F445" s="16" t="n">
        <v>5</v>
      </c>
      <c r="G445" s="16" t="n">
        <v>10</v>
      </c>
      <c r="H445" s="29" t="n">
        <v>3641.18</v>
      </c>
      <c r="I445" s="29" t="n">
        <f aca="false">H445/G445</f>
        <v>364.118</v>
      </c>
      <c r="J445" s="15" t="s">
        <v>171</v>
      </c>
      <c r="K445" s="15" t="s">
        <v>172</v>
      </c>
    </row>
    <row r="446" customFormat="false" ht="18.75" hidden="false" customHeight="true" outlineLevel="0" collapsed="false">
      <c r="A446" s="10" t="s">
        <v>965</v>
      </c>
      <c r="B446" s="10" t="s">
        <v>966</v>
      </c>
      <c r="C446" s="10" t="s">
        <v>184</v>
      </c>
      <c r="D446" s="10" t="s">
        <v>34</v>
      </c>
      <c r="E446" s="10" t="s">
        <v>284</v>
      </c>
      <c r="F446" s="11" t="n">
        <v>7</v>
      </c>
      <c r="G446" s="11" t="n">
        <v>8</v>
      </c>
      <c r="H446" s="26" t="n">
        <v>3637.33</v>
      </c>
      <c r="I446" s="26" t="n">
        <f aca="false">H446/G446</f>
        <v>454.66625</v>
      </c>
      <c r="J446" s="10" t="s">
        <v>171</v>
      </c>
      <c r="K446" s="10" t="s">
        <v>172</v>
      </c>
    </row>
    <row r="447" customFormat="false" ht="18.75" hidden="false" customHeight="true" outlineLevel="0" collapsed="false">
      <c r="A447" s="15" t="s">
        <v>967</v>
      </c>
      <c r="B447" s="15" t="s">
        <v>859</v>
      </c>
      <c r="C447" s="15" t="s">
        <v>146</v>
      </c>
      <c r="D447" s="15" t="s">
        <v>34</v>
      </c>
      <c r="E447" s="15" t="s">
        <v>284</v>
      </c>
      <c r="F447" s="16" t="n">
        <v>91</v>
      </c>
      <c r="G447" s="16" t="n">
        <v>5</v>
      </c>
      <c r="H447" s="29" t="n">
        <v>3630.9</v>
      </c>
      <c r="I447" s="29" t="n">
        <f aca="false">H447/G447</f>
        <v>726.18</v>
      </c>
      <c r="J447" s="15" t="s">
        <v>189</v>
      </c>
      <c r="K447" s="15" t="s">
        <v>190</v>
      </c>
    </row>
    <row r="448" customFormat="false" ht="18.75" hidden="false" customHeight="true" outlineLevel="0" collapsed="false">
      <c r="A448" s="10" t="s">
        <v>968</v>
      </c>
      <c r="B448" s="10" t="s">
        <v>326</v>
      </c>
      <c r="C448" s="10" t="s">
        <v>184</v>
      </c>
      <c r="D448" s="10" t="s">
        <v>34</v>
      </c>
      <c r="E448" s="10" t="s">
        <v>284</v>
      </c>
      <c r="F448" s="11" t="n">
        <v>6</v>
      </c>
      <c r="G448" s="11" t="n">
        <v>6</v>
      </c>
      <c r="H448" s="26" t="n">
        <v>3609.34</v>
      </c>
      <c r="I448" s="26" t="n">
        <f aca="false">H448/G448</f>
        <v>601.556666666667</v>
      </c>
      <c r="J448" s="10" t="s">
        <v>171</v>
      </c>
      <c r="K448" s="10" t="s">
        <v>172</v>
      </c>
    </row>
    <row r="449" customFormat="false" ht="18.75" hidden="false" customHeight="true" outlineLevel="0" collapsed="false">
      <c r="A449" s="15" t="s">
        <v>969</v>
      </c>
      <c r="B449" s="15" t="s">
        <v>970</v>
      </c>
      <c r="C449" s="15" t="s">
        <v>184</v>
      </c>
      <c r="D449" s="15" t="s">
        <v>34</v>
      </c>
      <c r="E449" s="15" t="s">
        <v>284</v>
      </c>
      <c r="F449" s="16" t="n">
        <v>19</v>
      </c>
      <c r="G449" s="16" t="n">
        <v>11</v>
      </c>
      <c r="H449" s="29" t="n">
        <v>3602.12</v>
      </c>
      <c r="I449" s="29" t="n">
        <f aca="false">H449/G449</f>
        <v>327.465454545455</v>
      </c>
      <c r="J449" s="15" t="s">
        <v>171</v>
      </c>
      <c r="K449" s="15" t="s">
        <v>172</v>
      </c>
    </row>
    <row r="450" customFormat="false" ht="18.75" hidden="false" customHeight="true" outlineLevel="0" collapsed="false">
      <c r="A450" s="10" t="s">
        <v>971</v>
      </c>
      <c r="B450" s="10" t="s">
        <v>972</v>
      </c>
      <c r="C450" s="10" t="s">
        <v>163</v>
      </c>
      <c r="D450" s="10" t="s">
        <v>36</v>
      </c>
      <c r="E450" s="10" t="s">
        <v>284</v>
      </c>
      <c r="F450" s="11" t="n">
        <v>27</v>
      </c>
      <c r="G450" s="11" t="n">
        <v>10</v>
      </c>
      <c r="H450" s="26" t="n">
        <v>3594.98</v>
      </c>
      <c r="I450" s="26" t="n">
        <f aca="false">H450/G450</f>
        <v>359.498</v>
      </c>
      <c r="J450" s="10" t="s">
        <v>171</v>
      </c>
      <c r="K450" s="10" t="s">
        <v>172</v>
      </c>
    </row>
    <row r="451" customFormat="false" ht="18.75" hidden="false" customHeight="true" outlineLevel="0" collapsed="false">
      <c r="A451" s="15" t="s">
        <v>973</v>
      </c>
      <c r="B451" s="15" t="s">
        <v>974</v>
      </c>
      <c r="C451" s="15" t="s">
        <v>152</v>
      </c>
      <c r="D451" s="15" t="s">
        <v>35</v>
      </c>
      <c r="E451" s="15" t="s">
        <v>284</v>
      </c>
      <c r="F451" s="16" t="n">
        <v>47</v>
      </c>
      <c r="G451" s="16" t="n">
        <v>6</v>
      </c>
      <c r="H451" s="29" t="n">
        <v>3593.5</v>
      </c>
      <c r="I451" s="29" t="n">
        <f aca="false">H451/G451</f>
        <v>598.916666666667</v>
      </c>
      <c r="J451" s="15" t="s">
        <v>171</v>
      </c>
      <c r="K451" s="15" t="s">
        <v>172</v>
      </c>
    </row>
    <row r="452" customFormat="false" ht="18.75" hidden="false" customHeight="true" outlineLevel="0" collapsed="false">
      <c r="A452" s="10" t="s">
        <v>975</v>
      </c>
      <c r="B452" s="10" t="s">
        <v>310</v>
      </c>
      <c r="C452" s="10" t="s">
        <v>226</v>
      </c>
      <c r="D452" s="10" t="s">
        <v>36</v>
      </c>
      <c r="E452" s="10" t="s">
        <v>284</v>
      </c>
      <c r="F452" s="11" t="n">
        <v>2</v>
      </c>
      <c r="G452" s="11" t="n">
        <v>9</v>
      </c>
      <c r="H452" s="26" t="n">
        <v>3582.31</v>
      </c>
      <c r="I452" s="26" t="n">
        <f aca="false">H452/G452</f>
        <v>398.034444444444</v>
      </c>
      <c r="J452" s="10" t="s">
        <v>171</v>
      </c>
      <c r="K452" s="10" t="s">
        <v>172</v>
      </c>
    </row>
    <row r="453" customFormat="false" ht="18.75" hidden="false" customHeight="true" outlineLevel="0" collapsed="false">
      <c r="A453" s="15" t="s">
        <v>976</v>
      </c>
      <c r="B453" s="15" t="s">
        <v>977</v>
      </c>
      <c r="C453" s="15" t="s">
        <v>146</v>
      </c>
      <c r="D453" s="15" t="s">
        <v>34</v>
      </c>
      <c r="E453" s="15" t="s">
        <v>284</v>
      </c>
      <c r="F453" s="16" t="n">
        <v>9</v>
      </c>
      <c r="G453" s="16" t="n">
        <v>10</v>
      </c>
      <c r="H453" s="29" t="n">
        <v>3580.95</v>
      </c>
      <c r="I453" s="29" t="n">
        <f aca="false">H453/G453</f>
        <v>358.095</v>
      </c>
      <c r="J453" s="15" t="s">
        <v>171</v>
      </c>
      <c r="K453" s="15" t="s">
        <v>172</v>
      </c>
    </row>
    <row r="454" customFormat="false" ht="18.75" hidden="false" customHeight="true" outlineLevel="0" collapsed="false">
      <c r="A454" s="10" t="s">
        <v>978</v>
      </c>
      <c r="B454" s="10" t="s">
        <v>979</v>
      </c>
      <c r="C454" s="10" t="s">
        <v>216</v>
      </c>
      <c r="D454" s="10" t="s">
        <v>34</v>
      </c>
      <c r="E454" s="10" t="s">
        <v>284</v>
      </c>
      <c r="F454" s="11" t="n">
        <v>47</v>
      </c>
      <c r="G454" s="11" t="n">
        <v>3</v>
      </c>
      <c r="H454" s="26" t="n">
        <v>3571.91</v>
      </c>
      <c r="I454" s="26" t="n">
        <f aca="false">H454/G454</f>
        <v>1190.63666666667</v>
      </c>
      <c r="J454" s="10" t="s">
        <v>280</v>
      </c>
      <c r="K454" s="10" t="s">
        <v>281</v>
      </c>
    </row>
    <row r="455" customFormat="false" ht="18.75" hidden="false" customHeight="true" outlineLevel="0" collapsed="false">
      <c r="A455" s="15" t="s">
        <v>980</v>
      </c>
      <c r="B455" s="15" t="s">
        <v>981</v>
      </c>
      <c r="C455" s="15" t="s">
        <v>152</v>
      </c>
      <c r="D455" s="15" t="s">
        <v>35</v>
      </c>
      <c r="E455" s="15" t="s">
        <v>284</v>
      </c>
      <c r="F455" s="16" t="n">
        <v>21</v>
      </c>
      <c r="G455" s="16" t="n">
        <v>8</v>
      </c>
      <c r="H455" s="29" t="n">
        <v>3561.47</v>
      </c>
      <c r="I455" s="29" t="n">
        <f aca="false">H455/G455</f>
        <v>445.18375</v>
      </c>
      <c r="J455" s="15" t="s">
        <v>171</v>
      </c>
      <c r="K455" s="15" t="s">
        <v>172</v>
      </c>
    </row>
    <row r="456" customFormat="false" ht="18.75" hidden="false" customHeight="true" outlineLevel="0" collapsed="false">
      <c r="A456" s="10" t="s">
        <v>982</v>
      </c>
      <c r="B456" s="10" t="s">
        <v>983</v>
      </c>
      <c r="C456" s="10" t="s">
        <v>163</v>
      </c>
      <c r="D456" s="10" t="s">
        <v>36</v>
      </c>
      <c r="E456" s="10" t="s">
        <v>284</v>
      </c>
      <c r="F456" s="11" t="n">
        <v>36</v>
      </c>
      <c r="G456" s="11" t="n">
        <v>9</v>
      </c>
      <c r="H456" s="26" t="n">
        <v>3548.52</v>
      </c>
      <c r="I456" s="26" t="n">
        <f aca="false">H456/G456</f>
        <v>394.28</v>
      </c>
      <c r="J456" s="10" t="s">
        <v>171</v>
      </c>
      <c r="K456" s="10" t="s">
        <v>172</v>
      </c>
    </row>
    <row r="457" customFormat="false" ht="18.75" hidden="false" customHeight="true" outlineLevel="0" collapsed="false">
      <c r="A457" s="15" t="s">
        <v>984</v>
      </c>
      <c r="B457" s="15" t="s">
        <v>985</v>
      </c>
      <c r="C457" s="15" t="s">
        <v>155</v>
      </c>
      <c r="D457" s="15" t="s">
        <v>34</v>
      </c>
      <c r="E457" s="15" t="s">
        <v>284</v>
      </c>
      <c r="F457" s="16" t="n">
        <v>15</v>
      </c>
      <c r="G457" s="16" t="n">
        <v>8</v>
      </c>
      <c r="H457" s="29" t="n">
        <v>3538.82</v>
      </c>
      <c r="I457" s="29" t="n">
        <f aca="false">H457/G457</f>
        <v>442.3525</v>
      </c>
      <c r="J457" s="15" t="s">
        <v>171</v>
      </c>
      <c r="K457" s="15" t="s">
        <v>172</v>
      </c>
    </row>
    <row r="458" customFormat="false" ht="18.75" hidden="false" customHeight="true" outlineLevel="0" collapsed="false">
      <c r="A458" s="10" t="s">
        <v>986</v>
      </c>
      <c r="B458" s="10" t="s">
        <v>987</v>
      </c>
      <c r="C458" s="10" t="s">
        <v>181</v>
      </c>
      <c r="D458" s="10" t="s">
        <v>36</v>
      </c>
      <c r="E458" s="10" t="s">
        <v>284</v>
      </c>
      <c r="F458" s="11" t="n">
        <v>12</v>
      </c>
      <c r="G458" s="11" t="n">
        <v>5</v>
      </c>
      <c r="H458" s="26" t="n">
        <v>3521.73</v>
      </c>
      <c r="I458" s="26" t="n">
        <f aca="false">H458/G458</f>
        <v>704.346</v>
      </c>
      <c r="J458" s="10" t="s">
        <v>171</v>
      </c>
      <c r="K458" s="10" t="s">
        <v>172</v>
      </c>
    </row>
    <row r="459" customFormat="false" ht="18.75" hidden="false" customHeight="true" outlineLevel="0" collapsed="false">
      <c r="A459" s="15" t="s">
        <v>988</v>
      </c>
      <c r="B459" s="15" t="s">
        <v>989</v>
      </c>
      <c r="C459" s="15" t="s">
        <v>149</v>
      </c>
      <c r="D459" s="15" t="s">
        <v>35</v>
      </c>
      <c r="E459" s="15" t="s">
        <v>284</v>
      </c>
      <c r="F459" s="16" t="n">
        <v>31</v>
      </c>
      <c r="G459" s="16" t="n">
        <v>5</v>
      </c>
      <c r="H459" s="29" t="n">
        <v>3521.26</v>
      </c>
      <c r="I459" s="29" t="n">
        <f aca="false">H459/G459</f>
        <v>704.252</v>
      </c>
      <c r="J459" s="15" t="s">
        <v>171</v>
      </c>
      <c r="K459" s="15" t="s">
        <v>172</v>
      </c>
    </row>
    <row r="460" customFormat="false" ht="18.75" hidden="false" customHeight="true" outlineLevel="0" collapsed="false">
      <c r="A460" s="10" t="s">
        <v>990</v>
      </c>
      <c r="B460" s="10" t="s">
        <v>991</v>
      </c>
      <c r="C460" s="10" t="s">
        <v>155</v>
      </c>
      <c r="D460" s="10" t="s">
        <v>34</v>
      </c>
      <c r="E460" s="10" t="s">
        <v>284</v>
      </c>
      <c r="F460" s="11" t="n">
        <v>87</v>
      </c>
      <c r="G460" s="11" t="n">
        <v>7</v>
      </c>
      <c r="H460" s="26" t="n">
        <v>3502.02</v>
      </c>
      <c r="I460" s="26" t="n">
        <f aca="false">H460/G460</f>
        <v>500.288571428571</v>
      </c>
      <c r="J460" s="10" t="s">
        <v>189</v>
      </c>
      <c r="K460" s="10" t="s">
        <v>190</v>
      </c>
    </row>
    <row r="461" customFormat="false" ht="18.75" hidden="false" customHeight="true" outlineLevel="0" collapsed="false">
      <c r="A461" s="15" t="s">
        <v>992</v>
      </c>
      <c r="B461" s="15" t="s">
        <v>993</v>
      </c>
      <c r="C461" s="15" t="s">
        <v>207</v>
      </c>
      <c r="D461" s="15" t="s">
        <v>35</v>
      </c>
      <c r="E461" s="15" t="s">
        <v>284</v>
      </c>
      <c r="F461" s="16" t="n">
        <v>42</v>
      </c>
      <c r="G461" s="16" t="n">
        <v>11</v>
      </c>
      <c r="H461" s="29" t="n">
        <v>3494.78</v>
      </c>
      <c r="I461" s="29" t="n">
        <f aca="false">H461/G461</f>
        <v>317.707272727273</v>
      </c>
      <c r="J461" s="15" t="s">
        <v>171</v>
      </c>
      <c r="K461" s="15" t="s">
        <v>172</v>
      </c>
    </row>
    <row r="462" customFormat="false" ht="18.75" hidden="false" customHeight="true" outlineLevel="0" collapsed="false">
      <c r="A462" s="10" t="s">
        <v>994</v>
      </c>
      <c r="B462" s="10" t="s">
        <v>901</v>
      </c>
      <c r="C462" s="10" t="s">
        <v>219</v>
      </c>
      <c r="D462" s="10" t="s">
        <v>35</v>
      </c>
      <c r="E462" s="10" t="s">
        <v>284</v>
      </c>
      <c r="F462" s="11" t="n">
        <v>38</v>
      </c>
      <c r="G462" s="11" t="n">
        <v>7</v>
      </c>
      <c r="H462" s="26" t="n">
        <v>3482.12</v>
      </c>
      <c r="I462" s="26" t="n">
        <f aca="false">H462/G462</f>
        <v>497.445714285714</v>
      </c>
      <c r="J462" s="10" t="s">
        <v>171</v>
      </c>
      <c r="K462" s="10" t="s">
        <v>172</v>
      </c>
    </row>
    <row r="463" customFormat="false" ht="18.75" hidden="false" customHeight="true" outlineLevel="0" collapsed="false">
      <c r="A463" s="15" t="s">
        <v>995</v>
      </c>
      <c r="B463" s="15" t="s">
        <v>366</v>
      </c>
      <c r="C463" s="15" t="s">
        <v>163</v>
      </c>
      <c r="D463" s="15" t="s">
        <v>36</v>
      </c>
      <c r="E463" s="15" t="s">
        <v>384</v>
      </c>
      <c r="F463" s="16" t="n">
        <v>45</v>
      </c>
      <c r="G463" s="16" t="n">
        <v>5</v>
      </c>
      <c r="H463" s="29" t="n">
        <v>3477.17</v>
      </c>
      <c r="I463" s="29" t="n">
        <f aca="false">H463/G463</f>
        <v>695.434</v>
      </c>
      <c r="J463" s="15" t="s">
        <v>171</v>
      </c>
      <c r="K463" s="15" t="s">
        <v>172</v>
      </c>
    </row>
    <row r="464" customFormat="false" ht="18.75" hidden="false" customHeight="true" outlineLevel="0" collapsed="false">
      <c r="A464" s="10" t="s">
        <v>996</v>
      </c>
      <c r="B464" s="10" t="s">
        <v>997</v>
      </c>
      <c r="C464" s="10" t="s">
        <v>219</v>
      </c>
      <c r="D464" s="10" t="s">
        <v>35</v>
      </c>
      <c r="E464" s="10" t="s">
        <v>284</v>
      </c>
      <c r="F464" s="11" t="n">
        <v>31</v>
      </c>
      <c r="G464" s="11" t="n">
        <v>7</v>
      </c>
      <c r="H464" s="26" t="n">
        <v>3466.34</v>
      </c>
      <c r="I464" s="26" t="n">
        <f aca="false">H464/G464</f>
        <v>495.191428571429</v>
      </c>
      <c r="J464" s="10" t="s">
        <v>171</v>
      </c>
      <c r="K464" s="10" t="s">
        <v>172</v>
      </c>
    </row>
    <row r="465" customFormat="false" ht="18.75" hidden="false" customHeight="true" outlineLevel="0" collapsed="false">
      <c r="A465" s="15" t="s">
        <v>998</v>
      </c>
      <c r="B465" s="15" t="s">
        <v>999</v>
      </c>
      <c r="C465" s="15" t="s">
        <v>140</v>
      </c>
      <c r="D465" s="15" t="s">
        <v>35</v>
      </c>
      <c r="E465" s="15" t="s">
        <v>284</v>
      </c>
      <c r="F465" s="16" t="n">
        <v>132</v>
      </c>
      <c r="G465" s="16" t="n">
        <v>5</v>
      </c>
      <c r="H465" s="29" t="n">
        <v>3461.85</v>
      </c>
      <c r="I465" s="29" t="n">
        <f aca="false">H465/G465</f>
        <v>692.37</v>
      </c>
      <c r="J465" s="15" t="s">
        <v>268</v>
      </c>
      <c r="K465" s="15" t="s">
        <v>269</v>
      </c>
    </row>
    <row r="466" customFormat="false" ht="18.75" hidden="false" customHeight="true" outlineLevel="0" collapsed="false">
      <c r="A466" s="10" t="s">
        <v>1000</v>
      </c>
      <c r="B466" s="10" t="s">
        <v>1001</v>
      </c>
      <c r="C466" s="10" t="s">
        <v>155</v>
      </c>
      <c r="D466" s="10" t="s">
        <v>34</v>
      </c>
      <c r="E466" s="10" t="s">
        <v>284</v>
      </c>
      <c r="F466" s="11" t="n">
        <v>27</v>
      </c>
      <c r="G466" s="11" t="n">
        <v>6</v>
      </c>
      <c r="H466" s="26" t="n">
        <v>3443.65</v>
      </c>
      <c r="I466" s="26" t="n">
        <f aca="false">H466/G466</f>
        <v>573.941666666667</v>
      </c>
      <c r="J466" s="10" t="s">
        <v>171</v>
      </c>
      <c r="K466" s="10" t="s">
        <v>172</v>
      </c>
    </row>
    <row r="467" customFormat="false" ht="18.75" hidden="false" customHeight="true" outlineLevel="0" collapsed="false">
      <c r="A467" s="15" t="s">
        <v>1002</v>
      </c>
      <c r="B467" s="15" t="s">
        <v>831</v>
      </c>
      <c r="C467" s="15" t="s">
        <v>207</v>
      </c>
      <c r="D467" s="15" t="s">
        <v>35</v>
      </c>
      <c r="E467" s="15" t="s">
        <v>384</v>
      </c>
      <c r="F467" s="16" t="n">
        <v>0</v>
      </c>
      <c r="G467" s="16" t="n">
        <v>4</v>
      </c>
      <c r="H467" s="29" t="n">
        <v>3441.8</v>
      </c>
      <c r="I467" s="29" t="n">
        <f aca="false">H467/G467</f>
        <v>860.45</v>
      </c>
      <c r="J467" s="15" t="s">
        <v>280</v>
      </c>
      <c r="K467" s="15" t="s">
        <v>281</v>
      </c>
    </row>
    <row r="468" customFormat="false" ht="18.75" hidden="false" customHeight="true" outlineLevel="0" collapsed="false">
      <c r="A468" s="10" t="s">
        <v>1003</v>
      </c>
      <c r="B468" s="10" t="s">
        <v>1004</v>
      </c>
      <c r="C468" s="10" t="s">
        <v>163</v>
      </c>
      <c r="D468" s="10" t="s">
        <v>36</v>
      </c>
      <c r="E468" s="10" t="s">
        <v>284</v>
      </c>
      <c r="F468" s="11" t="n">
        <v>20</v>
      </c>
      <c r="G468" s="11" t="n">
        <v>6</v>
      </c>
      <c r="H468" s="26" t="n">
        <v>3438.86</v>
      </c>
      <c r="I468" s="26" t="n">
        <f aca="false">H468/G468</f>
        <v>573.143333333333</v>
      </c>
      <c r="J468" s="10" t="s">
        <v>171</v>
      </c>
      <c r="K468" s="10" t="s">
        <v>172</v>
      </c>
    </row>
    <row r="469" customFormat="false" ht="18.75" hidden="false" customHeight="true" outlineLevel="0" collapsed="false">
      <c r="A469" s="15" t="s">
        <v>1005</v>
      </c>
      <c r="B469" s="15" t="s">
        <v>1006</v>
      </c>
      <c r="C469" s="15" t="s">
        <v>152</v>
      </c>
      <c r="D469" s="15" t="s">
        <v>35</v>
      </c>
      <c r="E469" s="15" t="s">
        <v>284</v>
      </c>
      <c r="F469" s="16" t="n">
        <v>15</v>
      </c>
      <c r="G469" s="16" t="n">
        <v>9</v>
      </c>
      <c r="H469" s="29" t="n">
        <v>3427.93</v>
      </c>
      <c r="I469" s="29" t="n">
        <f aca="false">H469/G469</f>
        <v>380.881111111111</v>
      </c>
      <c r="J469" s="15" t="s">
        <v>171</v>
      </c>
      <c r="K469" s="15" t="s">
        <v>172</v>
      </c>
    </row>
    <row r="470" customFormat="false" ht="18.75" hidden="false" customHeight="true" outlineLevel="0" collapsed="false">
      <c r="A470" s="10" t="s">
        <v>1007</v>
      </c>
      <c r="B470" s="10" t="s">
        <v>1008</v>
      </c>
      <c r="C470" s="10" t="s">
        <v>216</v>
      </c>
      <c r="D470" s="10" t="s">
        <v>34</v>
      </c>
      <c r="E470" s="10" t="s">
        <v>284</v>
      </c>
      <c r="F470" s="11" t="n">
        <v>101</v>
      </c>
      <c r="G470" s="11" t="n">
        <v>7</v>
      </c>
      <c r="H470" s="26" t="n">
        <v>3406.48</v>
      </c>
      <c r="I470" s="26" t="n">
        <f aca="false">H470/G470</f>
        <v>486.64</v>
      </c>
      <c r="J470" s="10" t="s">
        <v>189</v>
      </c>
      <c r="K470" s="10" t="s">
        <v>190</v>
      </c>
    </row>
    <row r="471" customFormat="false" ht="18.75" hidden="false" customHeight="true" outlineLevel="0" collapsed="false">
      <c r="A471" s="15" t="s">
        <v>1009</v>
      </c>
      <c r="B471" s="15" t="s">
        <v>1010</v>
      </c>
      <c r="C471" s="15" t="s">
        <v>226</v>
      </c>
      <c r="D471" s="15" t="s">
        <v>36</v>
      </c>
      <c r="E471" s="15" t="s">
        <v>284</v>
      </c>
      <c r="F471" s="16" t="n">
        <v>0</v>
      </c>
      <c r="G471" s="16" t="n">
        <v>10</v>
      </c>
      <c r="H471" s="29" t="n">
        <v>3405.75</v>
      </c>
      <c r="I471" s="29" t="n">
        <f aca="false">H471/G471</f>
        <v>340.575</v>
      </c>
      <c r="J471" s="15" t="s">
        <v>171</v>
      </c>
      <c r="K471" s="15" t="s">
        <v>172</v>
      </c>
    </row>
    <row r="472" customFormat="false" ht="18.75" hidden="false" customHeight="true" outlineLevel="0" collapsed="false">
      <c r="A472" s="10" t="s">
        <v>1011</v>
      </c>
      <c r="B472" s="10" t="s">
        <v>1012</v>
      </c>
      <c r="C472" s="10" t="s">
        <v>149</v>
      </c>
      <c r="D472" s="10" t="s">
        <v>35</v>
      </c>
      <c r="E472" s="10" t="s">
        <v>284</v>
      </c>
      <c r="F472" s="11" t="n">
        <v>20</v>
      </c>
      <c r="G472" s="11" t="n">
        <v>7</v>
      </c>
      <c r="H472" s="26" t="n">
        <v>3392.18</v>
      </c>
      <c r="I472" s="26" t="n">
        <f aca="false">H472/G472</f>
        <v>484.597142857143</v>
      </c>
      <c r="J472" s="10" t="s">
        <v>171</v>
      </c>
      <c r="K472" s="10" t="s">
        <v>172</v>
      </c>
    </row>
    <row r="473" customFormat="false" ht="18.75" hidden="false" customHeight="true" outlineLevel="0" collapsed="false">
      <c r="A473" s="15" t="s">
        <v>1013</v>
      </c>
      <c r="B473" s="15" t="s">
        <v>1014</v>
      </c>
      <c r="C473" s="15" t="s">
        <v>226</v>
      </c>
      <c r="D473" s="15" t="s">
        <v>36</v>
      </c>
      <c r="E473" s="15" t="s">
        <v>284</v>
      </c>
      <c r="F473" s="16" t="n">
        <v>78</v>
      </c>
      <c r="G473" s="16" t="n">
        <v>10</v>
      </c>
      <c r="H473" s="29" t="n">
        <v>3386.96</v>
      </c>
      <c r="I473" s="29" t="n">
        <f aca="false">H473/G473</f>
        <v>338.696</v>
      </c>
      <c r="J473" s="15" t="s">
        <v>189</v>
      </c>
      <c r="K473" s="15" t="s">
        <v>190</v>
      </c>
    </row>
    <row r="474" customFormat="false" ht="18.75" hidden="false" customHeight="true" outlineLevel="0" collapsed="false">
      <c r="A474" s="10" t="s">
        <v>1015</v>
      </c>
      <c r="B474" s="10" t="s">
        <v>1016</v>
      </c>
      <c r="C474" s="10" t="s">
        <v>166</v>
      </c>
      <c r="D474" s="10" t="s">
        <v>35</v>
      </c>
      <c r="E474" s="10" t="s">
        <v>284</v>
      </c>
      <c r="F474" s="11" t="n">
        <v>61</v>
      </c>
      <c r="G474" s="11" t="n">
        <v>7</v>
      </c>
      <c r="H474" s="26" t="n">
        <v>3384.52</v>
      </c>
      <c r="I474" s="26" t="n">
        <f aca="false">H474/G474</f>
        <v>483.502857142857</v>
      </c>
      <c r="J474" s="10" t="s">
        <v>189</v>
      </c>
      <c r="K474" s="10" t="s">
        <v>190</v>
      </c>
    </row>
    <row r="475" customFormat="false" ht="18.75" hidden="false" customHeight="true" outlineLevel="0" collapsed="false">
      <c r="A475" s="15" t="s">
        <v>1017</v>
      </c>
      <c r="B475" s="15" t="s">
        <v>782</v>
      </c>
      <c r="C475" s="15" t="s">
        <v>160</v>
      </c>
      <c r="D475" s="15" t="s">
        <v>36</v>
      </c>
      <c r="E475" s="15" t="s">
        <v>284</v>
      </c>
      <c r="F475" s="16" t="n">
        <v>8</v>
      </c>
      <c r="G475" s="16" t="n">
        <v>8</v>
      </c>
      <c r="H475" s="29" t="n">
        <v>3372</v>
      </c>
      <c r="I475" s="29" t="n">
        <f aca="false">H475/G475</f>
        <v>421.5</v>
      </c>
      <c r="J475" s="15" t="s">
        <v>171</v>
      </c>
      <c r="K475" s="15" t="s">
        <v>172</v>
      </c>
    </row>
    <row r="476" customFormat="false" ht="18.75" hidden="false" customHeight="true" outlineLevel="0" collapsed="false">
      <c r="A476" s="10" t="s">
        <v>1018</v>
      </c>
      <c r="B476" s="10" t="s">
        <v>1019</v>
      </c>
      <c r="C476" s="10" t="s">
        <v>226</v>
      </c>
      <c r="D476" s="10" t="s">
        <v>36</v>
      </c>
      <c r="E476" s="10" t="s">
        <v>284</v>
      </c>
      <c r="F476" s="11" t="n">
        <v>70</v>
      </c>
      <c r="G476" s="11" t="n">
        <v>6</v>
      </c>
      <c r="H476" s="26" t="n">
        <v>3344.37</v>
      </c>
      <c r="I476" s="26" t="n">
        <f aca="false">H476/G476</f>
        <v>557.395</v>
      </c>
      <c r="J476" s="10" t="s">
        <v>189</v>
      </c>
      <c r="K476" s="10" t="s">
        <v>190</v>
      </c>
    </row>
    <row r="477" customFormat="false" ht="18.75" hidden="false" customHeight="true" outlineLevel="0" collapsed="false">
      <c r="A477" s="15" t="s">
        <v>1020</v>
      </c>
      <c r="B477" s="15" t="s">
        <v>1021</v>
      </c>
      <c r="C477" s="15" t="s">
        <v>155</v>
      </c>
      <c r="D477" s="15" t="s">
        <v>34</v>
      </c>
      <c r="E477" s="15" t="s">
        <v>284</v>
      </c>
      <c r="F477" s="16" t="n">
        <v>94</v>
      </c>
      <c r="G477" s="16" t="n">
        <v>4</v>
      </c>
      <c r="H477" s="29" t="n">
        <v>3343.65</v>
      </c>
      <c r="I477" s="29" t="n">
        <f aca="false">H477/G477</f>
        <v>835.9125</v>
      </c>
      <c r="J477" s="15" t="s">
        <v>253</v>
      </c>
      <c r="K477" s="15" t="s">
        <v>254</v>
      </c>
    </row>
    <row r="478" customFormat="false" ht="18.75" hidden="false" customHeight="true" outlineLevel="0" collapsed="false">
      <c r="A478" s="10" t="s">
        <v>1022</v>
      </c>
      <c r="B478" s="10" t="s">
        <v>504</v>
      </c>
      <c r="C478" s="10" t="s">
        <v>163</v>
      </c>
      <c r="D478" s="10" t="s">
        <v>36</v>
      </c>
      <c r="E478" s="10" t="s">
        <v>284</v>
      </c>
      <c r="F478" s="11" t="n">
        <v>1</v>
      </c>
      <c r="G478" s="11" t="n">
        <v>5</v>
      </c>
      <c r="H478" s="26" t="n">
        <v>3343.31</v>
      </c>
      <c r="I478" s="26" t="n">
        <f aca="false">H478/G478</f>
        <v>668.662</v>
      </c>
      <c r="J478" s="10" t="s">
        <v>171</v>
      </c>
      <c r="K478" s="10" t="s">
        <v>172</v>
      </c>
    </row>
    <row r="479" customFormat="false" ht="18.75" hidden="false" customHeight="true" outlineLevel="0" collapsed="false">
      <c r="A479" s="15" t="s">
        <v>1023</v>
      </c>
      <c r="B479" s="15" t="s">
        <v>1024</v>
      </c>
      <c r="C479" s="15" t="s">
        <v>140</v>
      </c>
      <c r="D479" s="15" t="s">
        <v>35</v>
      </c>
      <c r="E479" s="15" t="s">
        <v>384</v>
      </c>
      <c r="F479" s="16" t="n">
        <v>5</v>
      </c>
      <c r="G479" s="16" t="n">
        <v>11</v>
      </c>
      <c r="H479" s="29" t="n">
        <v>3331.43</v>
      </c>
      <c r="I479" s="29" t="n">
        <f aca="false">H479/G479</f>
        <v>302.857272727273</v>
      </c>
      <c r="J479" s="15" t="s">
        <v>171</v>
      </c>
      <c r="K479" s="15" t="s">
        <v>172</v>
      </c>
    </row>
    <row r="480" customFormat="false" ht="18.75" hidden="false" customHeight="true" outlineLevel="0" collapsed="false">
      <c r="A480" s="10" t="s">
        <v>1025</v>
      </c>
      <c r="B480" s="10" t="s">
        <v>1026</v>
      </c>
      <c r="C480" s="10" t="s">
        <v>219</v>
      </c>
      <c r="D480" s="10" t="s">
        <v>35</v>
      </c>
      <c r="E480" s="10" t="s">
        <v>284</v>
      </c>
      <c r="F480" s="11" t="n">
        <v>50</v>
      </c>
      <c r="G480" s="11" t="n">
        <v>10</v>
      </c>
      <c r="H480" s="26" t="n">
        <v>3325.95</v>
      </c>
      <c r="I480" s="26" t="n">
        <f aca="false">H480/G480</f>
        <v>332.595</v>
      </c>
      <c r="J480" s="10" t="s">
        <v>189</v>
      </c>
      <c r="K480" s="10" t="s">
        <v>190</v>
      </c>
    </row>
    <row r="481" customFormat="false" ht="18.75" hidden="false" customHeight="true" outlineLevel="0" collapsed="false">
      <c r="A481" s="15" t="s">
        <v>1027</v>
      </c>
      <c r="B481" s="15" t="s">
        <v>1028</v>
      </c>
      <c r="C481" s="15" t="s">
        <v>181</v>
      </c>
      <c r="D481" s="15" t="s">
        <v>36</v>
      </c>
      <c r="E481" s="15" t="s">
        <v>284</v>
      </c>
      <c r="F481" s="16" t="n">
        <v>26</v>
      </c>
      <c r="G481" s="16" t="n">
        <v>11</v>
      </c>
      <c r="H481" s="29" t="n">
        <v>3324.45</v>
      </c>
      <c r="I481" s="29" t="n">
        <f aca="false">H481/G481</f>
        <v>302.222727272727</v>
      </c>
      <c r="J481" s="15" t="s">
        <v>171</v>
      </c>
      <c r="K481" s="15" t="s">
        <v>172</v>
      </c>
    </row>
    <row r="482" customFormat="false" ht="18.75" hidden="false" customHeight="true" outlineLevel="0" collapsed="false">
      <c r="A482" s="10" t="s">
        <v>1029</v>
      </c>
      <c r="B482" s="10" t="s">
        <v>1030</v>
      </c>
      <c r="C482" s="10" t="s">
        <v>207</v>
      </c>
      <c r="D482" s="10" t="s">
        <v>35</v>
      </c>
      <c r="E482" s="10" t="s">
        <v>284</v>
      </c>
      <c r="F482" s="11" t="n">
        <v>18</v>
      </c>
      <c r="G482" s="11" t="n">
        <v>5</v>
      </c>
      <c r="H482" s="26" t="n">
        <v>3321.8</v>
      </c>
      <c r="I482" s="26" t="n">
        <f aca="false">H482/G482</f>
        <v>664.36</v>
      </c>
      <c r="J482" s="10" t="s">
        <v>171</v>
      </c>
      <c r="K482" s="10" t="s">
        <v>172</v>
      </c>
    </row>
    <row r="483" customFormat="false" ht="18.75" hidden="false" customHeight="true" outlineLevel="0" collapsed="false">
      <c r="A483" s="15" t="s">
        <v>1031</v>
      </c>
      <c r="B483" s="15" t="s">
        <v>972</v>
      </c>
      <c r="C483" s="15" t="s">
        <v>149</v>
      </c>
      <c r="D483" s="15" t="s">
        <v>35</v>
      </c>
      <c r="E483" s="15" t="s">
        <v>284</v>
      </c>
      <c r="F483" s="16" t="n">
        <v>112</v>
      </c>
      <c r="G483" s="16" t="n">
        <v>6</v>
      </c>
      <c r="H483" s="29" t="n">
        <v>3316.1</v>
      </c>
      <c r="I483" s="29" t="n">
        <f aca="false">H483/G483</f>
        <v>552.683333333333</v>
      </c>
      <c r="J483" s="15" t="s">
        <v>268</v>
      </c>
      <c r="K483" s="15" t="s">
        <v>269</v>
      </c>
    </row>
    <row r="484" customFormat="false" ht="18.75" hidden="false" customHeight="true" outlineLevel="0" collapsed="false">
      <c r="A484" s="10" t="s">
        <v>1032</v>
      </c>
      <c r="B484" s="10" t="s">
        <v>1033</v>
      </c>
      <c r="C484" s="10" t="s">
        <v>152</v>
      </c>
      <c r="D484" s="10" t="s">
        <v>35</v>
      </c>
      <c r="E484" s="10" t="s">
        <v>284</v>
      </c>
      <c r="F484" s="11" t="n">
        <v>32</v>
      </c>
      <c r="G484" s="11" t="n">
        <v>9</v>
      </c>
      <c r="H484" s="26" t="n">
        <v>3298.46</v>
      </c>
      <c r="I484" s="26" t="n">
        <f aca="false">H484/G484</f>
        <v>366.495555555556</v>
      </c>
      <c r="J484" s="10" t="s">
        <v>171</v>
      </c>
      <c r="K484" s="10" t="s">
        <v>172</v>
      </c>
    </row>
    <row r="485" customFormat="false" ht="18.75" hidden="false" customHeight="true" outlineLevel="0" collapsed="false">
      <c r="A485" s="15" t="s">
        <v>1034</v>
      </c>
      <c r="B485" s="15" t="s">
        <v>1035</v>
      </c>
      <c r="C485" s="15" t="s">
        <v>184</v>
      </c>
      <c r="D485" s="15" t="s">
        <v>34</v>
      </c>
      <c r="E485" s="15" t="s">
        <v>284</v>
      </c>
      <c r="F485" s="16" t="n">
        <v>37</v>
      </c>
      <c r="G485" s="16" t="n">
        <v>7</v>
      </c>
      <c r="H485" s="29" t="n">
        <v>3294.39</v>
      </c>
      <c r="I485" s="29" t="n">
        <f aca="false">H485/G485</f>
        <v>470.627142857143</v>
      </c>
      <c r="J485" s="15" t="s">
        <v>171</v>
      </c>
      <c r="K485" s="15" t="s">
        <v>172</v>
      </c>
    </row>
    <row r="486" customFormat="false" ht="18.75" hidden="false" customHeight="true" outlineLevel="0" collapsed="false">
      <c r="A486" s="10" t="s">
        <v>1036</v>
      </c>
      <c r="B486" s="10" t="s">
        <v>660</v>
      </c>
      <c r="C486" s="10" t="s">
        <v>140</v>
      </c>
      <c r="D486" s="10" t="s">
        <v>35</v>
      </c>
      <c r="E486" s="10" t="s">
        <v>284</v>
      </c>
      <c r="F486" s="11" t="n">
        <v>7</v>
      </c>
      <c r="G486" s="11" t="n">
        <v>13</v>
      </c>
      <c r="H486" s="26" t="n">
        <v>3292.42</v>
      </c>
      <c r="I486" s="26" t="n">
        <f aca="false">H486/G486</f>
        <v>253.263076923077</v>
      </c>
      <c r="J486" s="10" t="s">
        <v>171</v>
      </c>
      <c r="K486" s="10" t="s">
        <v>172</v>
      </c>
    </row>
    <row r="487" customFormat="false" ht="18.75" hidden="false" customHeight="true" outlineLevel="0" collapsed="false">
      <c r="A487" s="15" t="s">
        <v>1037</v>
      </c>
      <c r="B487" s="15" t="s">
        <v>1038</v>
      </c>
      <c r="C487" s="15" t="s">
        <v>149</v>
      </c>
      <c r="D487" s="15" t="s">
        <v>35</v>
      </c>
      <c r="E487" s="15" t="s">
        <v>284</v>
      </c>
      <c r="F487" s="16" t="n">
        <v>22</v>
      </c>
      <c r="G487" s="16" t="n">
        <v>8</v>
      </c>
      <c r="H487" s="29" t="n">
        <v>3283.36</v>
      </c>
      <c r="I487" s="29" t="n">
        <f aca="false">H487/G487</f>
        <v>410.42</v>
      </c>
      <c r="J487" s="15" t="s">
        <v>171</v>
      </c>
      <c r="K487" s="15" t="s">
        <v>172</v>
      </c>
    </row>
    <row r="488" customFormat="false" ht="18.75" hidden="false" customHeight="true" outlineLevel="0" collapsed="false">
      <c r="A488" s="10" t="s">
        <v>1039</v>
      </c>
      <c r="B488" s="10" t="s">
        <v>1040</v>
      </c>
      <c r="C488" s="10" t="s">
        <v>149</v>
      </c>
      <c r="D488" s="10" t="s">
        <v>35</v>
      </c>
      <c r="E488" s="10" t="s">
        <v>284</v>
      </c>
      <c r="F488" s="11" t="n">
        <v>102</v>
      </c>
      <c r="G488" s="11" t="n">
        <v>9</v>
      </c>
      <c r="H488" s="26" t="n">
        <v>3270.5</v>
      </c>
      <c r="I488" s="26" t="n">
        <f aca="false">H488/G488</f>
        <v>363.388888888889</v>
      </c>
      <c r="J488" s="10" t="s">
        <v>189</v>
      </c>
      <c r="K488" s="10" t="s">
        <v>190</v>
      </c>
    </row>
    <row r="489" customFormat="false" ht="18.75" hidden="false" customHeight="true" outlineLevel="0" collapsed="false">
      <c r="A489" s="15" t="s">
        <v>1041</v>
      </c>
      <c r="B489" s="15" t="s">
        <v>1042</v>
      </c>
      <c r="C489" s="15" t="s">
        <v>155</v>
      </c>
      <c r="D489" s="15" t="s">
        <v>34</v>
      </c>
      <c r="E489" s="15" t="s">
        <v>284</v>
      </c>
      <c r="F489" s="16" t="n">
        <v>66</v>
      </c>
      <c r="G489" s="16" t="n">
        <v>4</v>
      </c>
      <c r="H489" s="29" t="n">
        <v>3270.21</v>
      </c>
      <c r="I489" s="29" t="n">
        <f aca="false">H489/G489</f>
        <v>817.5525</v>
      </c>
      <c r="J489" s="15" t="s">
        <v>253</v>
      </c>
      <c r="K489" s="15" t="s">
        <v>254</v>
      </c>
    </row>
    <row r="490" customFormat="false" ht="18.75" hidden="false" customHeight="true" outlineLevel="0" collapsed="false">
      <c r="A490" s="10" t="s">
        <v>1043</v>
      </c>
      <c r="B490" s="10" t="s">
        <v>1044</v>
      </c>
      <c r="C490" s="10" t="s">
        <v>181</v>
      </c>
      <c r="D490" s="10" t="s">
        <v>36</v>
      </c>
      <c r="E490" s="10" t="s">
        <v>284</v>
      </c>
      <c r="F490" s="11" t="n">
        <v>79</v>
      </c>
      <c r="G490" s="11" t="n">
        <v>7</v>
      </c>
      <c r="H490" s="26" t="n">
        <v>3259.25</v>
      </c>
      <c r="I490" s="26" t="n">
        <f aca="false">H490/G490</f>
        <v>465.607142857143</v>
      </c>
      <c r="J490" s="10" t="s">
        <v>189</v>
      </c>
      <c r="K490" s="10" t="s">
        <v>190</v>
      </c>
    </row>
    <row r="491" customFormat="false" ht="18.75" hidden="false" customHeight="true" outlineLevel="0" collapsed="false">
      <c r="A491" s="15" t="s">
        <v>1045</v>
      </c>
      <c r="B491" s="15" t="s">
        <v>482</v>
      </c>
      <c r="C491" s="15" t="s">
        <v>160</v>
      </c>
      <c r="D491" s="15" t="s">
        <v>36</v>
      </c>
      <c r="E491" s="15" t="s">
        <v>284</v>
      </c>
      <c r="F491" s="16" t="n">
        <v>10</v>
      </c>
      <c r="G491" s="16" t="n">
        <v>9</v>
      </c>
      <c r="H491" s="29" t="n">
        <v>3256.48</v>
      </c>
      <c r="I491" s="29" t="n">
        <f aca="false">H491/G491</f>
        <v>361.831111111111</v>
      </c>
      <c r="J491" s="15" t="s">
        <v>171</v>
      </c>
      <c r="K491" s="15" t="s">
        <v>172</v>
      </c>
    </row>
    <row r="492" customFormat="false" ht="18.75" hidden="false" customHeight="true" outlineLevel="0" collapsed="false">
      <c r="A492" s="10" t="s">
        <v>1046</v>
      </c>
      <c r="B492" s="10" t="s">
        <v>1047</v>
      </c>
      <c r="C492" s="10" t="s">
        <v>160</v>
      </c>
      <c r="D492" s="10" t="s">
        <v>36</v>
      </c>
      <c r="E492" s="10" t="s">
        <v>284</v>
      </c>
      <c r="F492" s="11" t="n">
        <v>39</v>
      </c>
      <c r="G492" s="11" t="n">
        <v>10</v>
      </c>
      <c r="H492" s="26" t="n">
        <v>3251.9</v>
      </c>
      <c r="I492" s="26" t="n">
        <f aca="false">H492/G492</f>
        <v>325.19</v>
      </c>
      <c r="J492" s="10" t="s">
        <v>171</v>
      </c>
      <c r="K492" s="10" t="s">
        <v>172</v>
      </c>
    </row>
    <row r="493" customFormat="false" ht="18.75" hidden="false" customHeight="true" outlineLevel="0" collapsed="false">
      <c r="A493" s="15" t="s">
        <v>1048</v>
      </c>
      <c r="B493" s="15" t="s">
        <v>170</v>
      </c>
      <c r="C493" s="15" t="s">
        <v>199</v>
      </c>
      <c r="D493" s="15" t="s">
        <v>36</v>
      </c>
      <c r="E493" s="15" t="s">
        <v>284</v>
      </c>
      <c r="F493" s="16" t="n">
        <v>35</v>
      </c>
      <c r="G493" s="16" t="n">
        <v>10</v>
      </c>
      <c r="H493" s="29" t="n">
        <v>3250.51</v>
      </c>
      <c r="I493" s="29" t="n">
        <f aca="false">H493/G493</f>
        <v>325.051</v>
      </c>
      <c r="J493" s="15" t="s">
        <v>171</v>
      </c>
      <c r="K493" s="15" t="s">
        <v>172</v>
      </c>
    </row>
    <row r="494" customFormat="false" ht="18.75" hidden="false" customHeight="true" outlineLevel="0" collapsed="false">
      <c r="A494" s="10" t="s">
        <v>1049</v>
      </c>
      <c r="B494" s="10" t="s">
        <v>1050</v>
      </c>
      <c r="C494" s="10" t="s">
        <v>207</v>
      </c>
      <c r="D494" s="10" t="s">
        <v>35</v>
      </c>
      <c r="E494" s="10" t="s">
        <v>384</v>
      </c>
      <c r="F494" s="11" t="n">
        <v>78</v>
      </c>
      <c r="G494" s="11" t="n">
        <v>7</v>
      </c>
      <c r="H494" s="26" t="n">
        <v>3243.8</v>
      </c>
      <c r="I494" s="26" t="n">
        <f aca="false">H494/G494</f>
        <v>463.4</v>
      </c>
      <c r="J494" s="10" t="s">
        <v>189</v>
      </c>
      <c r="K494" s="10" t="s">
        <v>190</v>
      </c>
    </row>
    <row r="495" customFormat="false" ht="18.75" hidden="false" customHeight="true" outlineLevel="0" collapsed="false">
      <c r="A495" s="15" t="s">
        <v>1051</v>
      </c>
      <c r="B495" s="15" t="s">
        <v>296</v>
      </c>
      <c r="C495" s="15" t="s">
        <v>149</v>
      </c>
      <c r="D495" s="15" t="s">
        <v>35</v>
      </c>
      <c r="E495" s="15" t="s">
        <v>284</v>
      </c>
      <c r="F495" s="16" t="n">
        <v>11</v>
      </c>
      <c r="G495" s="16" t="n">
        <v>7</v>
      </c>
      <c r="H495" s="29" t="n">
        <v>3242.8</v>
      </c>
      <c r="I495" s="29" t="n">
        <f aca="false">H495/G495</f>
        <v>463.257142857143</v>
      </c>
      <c r="J495" s="15" t="s">
        <v>171</v>
      </c>
      <c r="K495" s="15" t="s">
        <v>172</v>
      </c>
    </row>
    <row r="496" customFormat="false" ht="18.75" hidden="false" customHeight="true" outlineLevel="0" collapsed="false">
      <c r="A496" s="10" t="s">
        <v>1052</v>
      </c>
      <c r="B496" s="10" t="s">
        <v>840</v>
      </c>
      <c r="C496" s="10" t="s">
        <v>199</v>
      </c>
      <c r="D496" s="10" t="s">
        <v>36</v>
      </c>
      <c r="E496" s="10" t="s">
        <v>284</v>
      </c>
      <c r="F496" s="11" t="n">
        <v>113</v>
      </c>
      <c r="G496" s="11" t="n">
        <v>7</v>
      </c>
      <c r="H496" s="26" t="n">
        <v>3241.99</v>
      </c>
      <c r="I496" s="26" t="n">
        <f aca="false">H496/G496</f>
        <v>463.141428571429</v>
      </c>
      <c r="J496" s="10" t="s">
        <v>268</v>
      </c>
      <c r="K496" s="10" t="s">
        <v>269</v>
      </c>
    </row>
    <row r="497" customFormat="false" ht="18.75" hidden="false" customHeight="true" outlineLevel="0" collapsed="false">
      <c r="A497" s="15" t="s">
        <v>1053</v>
      </c>
      <c r="B497" s="15" t="s">
        <v>174</v>
      </c>
      <c r="C497" s="15" t="s">
        <v>140</v>
      </c>
      <c r="D497" s="15" t="s">
        <v>35</v>
      </c>
      <c r="E497" s="15" t="s">
        <v>284</v>
      </c>
      <c r="F497" s="16" t="n">
        <v>67</v>
      </c>
      <c r="G497" s="16" t="n">
        <v>8</v>
      </c>
      <c r="H497" s="29" t="n">
        <v>3235.09</v>
      </c>
      <c r="I497" s="29" t="n">
        <f aca="false">H497/G497</f>
        <v>404.38625</v>
      </c>
      <c r="J497" s="15" t="s">
        <v>189</v>
      </c>
      <c r="K497" s="15" t="s">
        <v>190</v>
      </c>
    </row>
    <row r="498" customFormat="false" ht="18.75" hidden="false" customHeight="true" outlineLevel="0" collapsed="false">
      <c r="A498" s="10" t="s">
        <v>1054</v>
      </c>
      <c r="B498" s="10" t="s">
        <v>1055</v>
      </c>
      <c r="C498" s="10" t="s">
        <v>146</v>
      </c>
      <c r="D498" s="10" t="s">
        <v>34</v>
      </c>
      <c r="E498" s="10" t="s">
        <v>284</v>
      </c>
      <c r="F498" s="11" t="n">
        <v>44</v>
      </c>
      <c r="G498" s="11" t="n">
        <v>11</v>
      </c>
      <c r="H498" s="26" t="n">
        <v>3232.13</v>
      </c>
      <c r="I498" s="26" t="n">
        <f aca="false">H498/G498</f>
        <v>293.83</v>
      </c>
      <c r="J498" s="10" t="s">
        <v>171</v>
      </c>
      <c r="K498" s="10" t="s">
        <v>172</v>
      </c>
    </row>
    <row r="499" customFormat="false" ht="18.75" hidden="false" customHeight="true" outlineLevel="0" collapsed="false">
      <c r="A499" s="15" t="s">
        <v>1056</v>
      </c>
      <c r="B499" s="15" t="s">
        <v>694</v>
      </c>
      <c r="C499" s="15" t="s">
        <v>152</v>
      </c>
      <c r="D499" s="15" t="s">
        <v>35</v>
      </c>
      <c r="E499" s="15" t="s">
        <v>284</v>
      </c>
      <c r="F499" s="16" t="n">
        <v>65</v>
      </c>
      <c r="G499" s="16" t="n">
        <v>12</v>
      </c>
      <c r="H499" s="29" t="n">
        <v>3223.75</v>
      </c>
      <c r="I499" s="29" t="n">
        <f aca="false">H499/G499</f>
        <v>268.645833333333</v>
      </c>
      <c r="J499" s="15" t="s">
        <v>189</v>
      </c>
      <c r="K499" s="15" t="s">
        <v>190</v>
      </c>
    </row>
    <row r="500" customFormat="false" ht="18.75" hidden="false" customHeight="true" outlineLevel="0" collapsed="false">
      <c r="A500" s="10" t="s">
        <v>1057</v>
      </c>
      <c r="B500" s="10" t="s">
        <v>1058</v>
      </c>
      <c r="C500" s="10" t="s">
        <v>155</v>
      </c>
      <c r="D500" s="10" t="s">
        <v>34</v>
      </c>
      <c r="E500" s="10" t="s">
        <v>284</v>
      </c>
      <c r="F500" s="11" t="n">
        <v>118</v>
      </c>
      <c r="G500" s="11" t="n">
        <v>5</v>
      </c>
      <c r="H500" s="26" t="n">
        <v>3217.25</v>
      </c>
      <c r="I500" s="26" t="n">
        <f aca="false">H500/G500</f>
        <v>643.45</v>
      </c>
      <c r="J500" s="10" t="s">
        <v>268</v>
      </c>
      <c r="K500" s="10" t="s">
        <v>269</v>
      </c>
    </row>
    <row r="501" customFormat="false" ht="18.75" hidden="false" customHeight="true" outlineLevel="0" collapsed="false">
      <c r="A501" s="15" t="s">
        <v>1059</v>
      </c>
      <c r="B501" s="15" t="s">
        <v>1060</v>
      </c>
      <c r="C501" s="15" t="s">
        <v>163</v>
      </c>
      <c r="D501" s="15" t="s">
        <v>36</v>
      </c>
      <c r="E501" s="15" t="s">
        <v>284</v>
      </c>
      <c r="F501" s="16" t="n">
        <v>17</v>
      </c>
      <c r="G501" s="16" t="n">
        <v>4</v>
      </c>
      <c r="H501" s="29" t="n">
        <v>3208.73</v>
      </c>
      <c r="I501" s="29" t="n">
        <f aca="false">H501/G501</f>
        <v>802.1825</v>
      </c>
      <c r="J501" s="15" t="s">
        <v>280</v>
      </c>
      <c r="K501" s="15" t="s">
        <v>281</v>
      </c>
    </row>
    <row r="502" customFormat="false" ht="18.75" hidden="false" customHeight="true" outlineLevel="0" collapsed="false">
      <c r="A502" s="10" t="s">
        <v>1061</v>
      </c>
      <c r="B502" s="10" t="s">
        <v>1062</v>
      </c>
      <c r="C502" s="10" t="s">
        <v>219</v>
      </c>
      <c r="D502" s="10" t="s">
        <v>35</v>
      </c>
      <c r="E502" s="10" t="s">
        <v>284</v>
      </c>
      <c r="F502" s="11" t="n">
        <v>119</v>
      </c>
      <c r="G502" s="11" t="n">
        <v>4</v>
      </c>
      <c r="H502" s="26" t="n">
        <v>3196.09</v>
      </c>
      <c r="I502" s="26" t="n">
        <f aca="false">H502/G502</f>
        <v>799.0225</v>
      </c>
      <c r="J502" s="10" t="s">
        <v>253</v>
      </c>
      <c r="K502" s="10" t="s">
        <v>254</v>
      </c>
    </row>
    <row r="503" customFormat="false" ht="18.75" hidden="false" customHeight="true" outlineLevel="0" collapsed="false">
      <c r="A503" s="15" t="s">
        <v>1063</v>
      </c>
      <c r="B503" s="15" t="s">
        <v>180</v>
      </c>
      <c r="C503" s="15" t="s">
        <v>163</v>
      </c>
      <c r="D503" s="15" t="s">
        <v>36</v>
      </c>
      <c r="E503" s="15" t="s">
        <v>284</v>
      </c>
      <c r="F503" s="16" t="n">
        <v>83</v>
      </c>
      <c r="G503" s="16" t="n">
        <v>7</v>
      </c>
      <c r="H503" s="29" t="n">
        <v>3191.64</v>
      </c>
      <c r="I503" s="29" t="n">
        <f aca="false">H503/G503</f>
        <v>455.948571428571</v>
      </c>
      <c r="J503" s="15" t="s">
        <v>189</v>
      </c>
      <c r="K503" s="15" t="s">
        <v>190</v>
      </c>
    </row>
    <row r="504" customFormat="false" ht="18.75" hidden="false" customHeight="true" outlineLevel="0" collapsed="false">
      <c r="A504" s="10" t="s">
        <v>1064</v>
      </c>
      <c r="B504" s="10" t="s">
        <v>1065</v>
      </c>
      <c r="C504" s="10" t="s">
        <v>219</v>
      </c>
      <c r="D504" s="10" t="s">
        <v>35</v>
      </c>
      <c r="E504" s="10" t="s">
        <v>284</v>
      </c>
      <c r="F504" s="11" t="n">
        <v>48</v>
      </c>
      <c r="G504" s="11" t="n">
        <v>7</v>
      </c>
      <c r="H504" s="26" t="n">
        <v>3185.08</v>
      </c>
      <c r="I504" s="26" t="n">
        <f aca="false">H504/G504</f>
        <v>455.011428571429</v>
      </c>
      <c r="J504" s="10" t="s">
        <v>171</v>
      </c>
      <c r="K504" s="10" t="s">
        <v>172</v>
      </c>
    </row>
    <row r="505" customFormat="false" ht="18.75" hidden="false" customHeight="true" outlineLevel="0" collapsed="false">
      <c r="A505" s="15" t="s">
        <v>1066</v>
      </c>
      <c r="B505" s="15" t="s">
        <v>1067</v>
      </c>
      <c r="C505" s="15" t="s">
        <v>149</v>
      </c>
      <c r="D505" s="15" t="s">
        <v>35</v>
      </c>
      <c r="E505" s="15" t="s">
        <v>284</v>
      </c>
      <c r="F505" s="16" t="n">
        <v>125</v>
      </c>
      <c r="G505" s="16" t="n">
        <v>4</v>
      </c>
      <c r="H505" s="29" t="n">
        <v>3184.34</v>
      </c>
      <c r="I505" s="29" t="n">
        <f aca="false">H505/G505</f>
        <v>796.085</v>
      </c>
      <c r="J505" s="15" t="s">
        <v>253</v>
      </c>
      <c r="K505" s="15" t="s">
        <v>254</v>
      </c>
    </row>
    <row r="506" customFormat="false" ht="18.75" hidden="false" customHeight="true" outlineLevel="0" collapsed="false">
      <c r="A506" s="10" t="s">
        <v>1068</v>
      </c>
      <c r="B506" s="10" t="s">
        <v>1069</v>
      </c>
      <c r="C506" s="10" t="s">
        <v>226</v>
      </c>
      <c r="D506" s="10" t="s">
        <v>36</v>
      </c>
      <c r="E506" s="10" t="s">
        <v>284</v>
      </c>
      <c r="F506" s="11" t="n">
        <v>96</v>
      </c>
      <c r="G506" s="11" t="n">
        <v>6</v>
      </c>
      <c r="H506" s="26" t="n">
        <v>3183.55</v>
      </c>
      <c r="I506" s="26" t="n">
        <f aca="false">H506/G506</f>
        <v>530.591666666667</v>
      </c>
      <c r="J506" s="10" t="s">
        <v>189</v>
      </c>
      <c r="K506" s="10" t="s">
        <v>190</v>
      </c>
    </row>
    <row r="507" customFormat="false" ht="18.75" hidden="false" customHeight="true" outlineLevel="0" collapsed="false">
      <c r="A507" s="15" t="s">
        <v>1070</v>
      </c>
      <c r="B507" s="15" t="s">
        <v>230</v>
      </c>
      <c r="C507" s="15" t="s">
        <v>155</v>
      </c>
      <c r="D507" s="15" t="s">
        <v>34</v>
      </c>
      <c r="E507" s="15" t="s">
        <v>284</v>
      </c>
      <c r="F507" s="16" t="n">
        <v>32</v>
      </c>
      <c r="G507" s="16" t="n">
        <v>7</v>
      </c>
      <c r="H507" s="29" t="n">
        <v>3179.89</v>
      </c>
      <c r="I507" s="29" t="n">
        <f aca="false">H507/G507</f>
        <v>454.27</v>
      </c>
      <c r="J507" s="15" t="s">
        <v>171</v>
      </c>
      <c r="K507" s="15" t="s">
        <v>172</v>
      </c>
    </row>
    <row r="508" customFormat="false" ht="18.75" hidden="false" customHeight="true" outlineLevel="0" collapsed="false">
      <c r="A508" s="10" t="s">
        <v>1071</v>
      </c>
      <c r="B508" s="10" t="s">
        <v>1072</v>
      </c>
      <c r="C508" s="10" t="s">
        <v>149</v>
      </c>
      <c r="D508" s="10" t="s">
        <v>35</v>
      </c>
      <c r="E508" s="10" t="s">
        <v>284</v>
      </c>
      <c r="F508" s="11" t="n">
        <v>102</v>
      </c>
      <c r="G508" s="11" t="n">
        <v>10</v>
      </c>
      <c r="H508" s="26" t="n">
        <v>3179.69</v>
      </c>
      <c r="I508" s="26" t="n">
        <f aca="false">H508/G508</f>
        <v>317.969</v>
      </c>
      <c r="J508" s="10" t="s">
        <v>189</v>
      </c>
      <c r="K508" s="10" t="s">
        <v>190</v>
      </c>
    </row>
    <row r="509" customFormat="false" ht="18.75" hidden="false" customHeight="true" outlineLevel="0" collapsed="false">
      <c r="A509" s="15" t="s">
        <v>1073</v>
      </c>
      <c r="B509" s="15" t="s">
        <v>334</v>
      </c>
      <c r="C509" s="15" t="s">
        <v>207</v>
      </c>
      <c r="D509" s="15" t="s">
        <v>35</v>
      </c>
      <c r="E509" s="15" t="s">
        <v>284</v>
      </c>
      <c r="F509" s="16" t="n">
        <v>17</v>
      </c>
      <c r="G509" s="16" t="n">
        <v>11</v>
      </c>
      <c r="H509" s="29" t="n">
        <v>3174.91</v>
      </c>
      <c r="I509" s="29" t="n">
        <f aca="false">H509/G509</f>
        <v>288.628181818182</v>
      </c>
      <c r="J509" s="15" t="s">
        <v>171</v>
      </c>
      <c r="K509" s="15" t="s">
        <v>172</v>
      </c>
    </row>
    <row r="510" customFormat="false" ht="18.75" hidden="false" customHeight="true" outlineLevel="0" collapsed="false">
      <c r="A510" s="10" t="s">
        <v>1074</v>
      </c>
      <c r="B510" s="10" t="s">
        <v>246</v>
      </c>
      <c r="C510" s="10" t="s">
        <v>152</v>
      </c>
      <c r="D510" s="10" t="s">
        <v>35</v>
      </c>
      <c r="E510" s="10" t="s">
        <v>284</v>
      </c>
      <c r="F510" s="11" t="n">
        <v>9</v>
      </c>
      <c r="G510" s="11" t="n">
        <v>9</v>
      </c>
      <c r="H510" s="26" t="n">
        <v>3168.82</v>
      </c>
      <c r="I510" s="26" t="n">
        <f aca="false">H510/G510</f>
        <v>352.091111111111</v>
      </c>
      <c r="J510" s="10" t="s">
        <v>171</v>
      </c>
      <c r="K510" s="10" t="s">
        <v>172</v>
      </c>
    </row>
    <row r="511" customFormat="false" ht="18.75" hidden="false" customHeight="true" outlineLevel="0" collapsed="false">
      <c r="A511" s="15" t="s">
        <v>1075</v>
      </c>
      <c r="B511" s="15" t="s">
        <v>972</v>
      </c>
      <c r="C511" s="15" t="s">
        <v>152</v>
      </c>
      <c r="D511" s="15" t="s">
        <v>35</v>
      </c>
      <c r="E511" s="15" t="s">
        <v>284</v>
      </c>
      <c r="F511" s="16" t="n">
        <v>124</v>
      </c>
      <c r="G511" s="16" t="n">
        <v>5</v>
      </c>
      <c r="H511" s="29" t="n">
        <v>3166.02</v>
      </c>
      <c r="I511" s="29" t="n">
        <f aca="false">H511/G511</f>
        <v>633.204</v>
      </c>
      <c r="J511" s="15" t="s">
        <v>268</v>
      </c>
      <c r="K511" s="15" t="s">
        <v>269</v>
      </c>
    </row>
    <row r="512" customFormat="false" ht="18.75" hidden="false" customHeight="true" outlineLevel="0" collapsed="false">
      <c r="A512" s="10" t="s">
        <v>1076</v>
      </c>
      <c r="B512" s="10" t="s">
        <v>1077</v>
      </c>
      <c r="C512" s="10" t="s">
        <v>166</v>
      </c>
      <c r="D512" s="10" t="s">
        <v>35</v>
      </c>
      <c r="E512" s="10" t="s">
        <v>384</v>
      </c>
      <c r="F512" s="11" t="n">
        <v>14</v>
      </c>
      <c r="G512" s="11" t="n">
        <v>10</v>
      </c>
      <c r="H512" s="26" t="n">
        <v>3160.36</v>
      </c>
      <c r="I512" s="26" t="n">
        <f aca="false">H512/G512</f>
        <v>316.036</v>
      </c>
      <c r="J512" s="10" t="s">
        <v>171</v>
      </c>
      <c r="K512" s="10" t="s">
        <v>172</v>
      </c>
    </row>
    <row r="513" customFormat="false" ht="18.75" hidden="false" customHeight="true" outlineLevel="0" collapsed="false">
      <c r="A513" s="15" t="s">
        <v>1078</v>
      </c>
      <c r="B513" s="15" t="s">
        <v>1079</v>
      </c>
      <c r="C513" s="15" t="s">
        <v>155</v>
      </c>
      <c r="D513" s="15" t="s">
        <v>34</v>
      </c>
      <c r="E513" s="15" t="s">
        <v>384</v>
      </c>
      <c r="F513" s="16" t="n">
        <v>24</v>
      </c>
      <c r="G513" s="16" t="n">
        <v>7</v>
      </c>
      <c r="H513" s="29" t="n">
        <v>3159.95</v>
      </c>
      <c r="I513" s="29" t="n">
        <f aca="false">H513/G513</f>
        <v>451.421428571429</v>
      </c>
      <c r="J513" s="15" t="s">
        <v>171</v>
      </c>
      <c r="K513" s="15" t="s">
        <v>172</v>
      </c>
    </row>
    <row r="514" customFormat="false" ht="18.75" hidden="false" customHeight="true" outlineLevel="0" collapsed="false">
      <c r="A514" s="10" t="s">
        <v>1080</v>
      </c>
      <c r="B514" s="10" t="s">
        <v>1081</v>
      </c>
      <c r="C514" s="10" t="s">
        <v>181</v>
      </c>
      <c r="D514" s="10" t="s">
        <v>36</v>
      </c>
      <c r="E514" s="10" t="s">
        <v>141</v>
      </c>
      <c r="F514" s="11" t="n">
        <v>83</v>
      </c>
      <c r="G514" s="11" t="n">
        <v>1</v>
      </c>
      <c r="H514" s="26" t="n">
        <v>3159.28</v>
      </c>
      <c r="I514" s="26" t="n">
        <f aca="false">H514/G514</f>
        <v>3159.28</v>
      </c>
      <c r="J514" s="10" t="s">
        <v>253</v>
      </c>
      <c r="K514" s="10" t="s">
        <v>254</v>
      </c>
    </row>
    <row r="515" customFormat="false" ht="18.75" hidden="false" customHeight="true" outlineLevel="0" collapsed="false">
      <c r="A515" s="15" t="s">
        <v>1082</v>
      </c>
      <c r="B515" s="15" t="s">
        <v>1083</v>
      </c>
      <c r="C515" s="15" t="s">
        <v>216</v>
      </c>
      <c r="D515" s="15" t="s">
        <v>34</v>
      </c>
      <c r="E515" s="15" t="s">
        <v>384</v>
      </c>
      <c r="F515" s="16" t="n">
        <v>23</v>
      </c>
      <c r="G515" s="16" t="n">
        <v>6</v>
      </c>
      <c r="H515" s="29" t="n">
        <v>3157.74</v>
      </c>
      <c r="I515" s="29" t="n">
        <f aca="false">H515/G515</f>
        <v>526.29</v>
      </c>
      <c r="J515" s="15" t="s">
        <v>171</v>
      </c>
      <c r="K515" s="15" t="s">
        <v>172</v>
      </c>
    </row>
    <row r="516" customFormat="false" ht="18.75" hidden="false" customHeight="true" outlineLevel="0" collapsed="false">
      <c r="A516" s="10" t="s">
        <v>1084</v>
      </c>
      <c r="B516" s="10" t="s">
        <v>920</v>
      </c>
      <c r="C516" s="10" t="s">
        <v>207</v>
      </c>
      <c r="D516" s="10" t="s">
        <v>35</v>
      </c>
      <c r="E516" s="10" t="s">
        <v>284</v>
      </c>
      <c r="F516" s="11" t="n">
        <v>1</v>
      </c>
      <c r="G516" s="11" t="n">
        <v>11</v>
      </c>
      <c r="H516" s="26" t="n">
        <v>3157.31</v>
      </c>
      <c r="I516" s="26" t="n">
        <f aca="false">H516/G516</f>
        <v>287.028181818182</v>
      </c>
      <c r="J516" s="10" t="s">
        <v>171</v>
      </c>
      <c r="K516" s="10" t="s">
        <v>172</v>
      </c>
    </row>
    <row r="517" customFormat="false" ht="18.75" hidden="false" customHeight="true" outlineLevel="0" collapsed="false">
      <c r="A517" s="15" t="s">
        <v>1085</v>
      </c>
      <c r="B517" s="15" t="s">
        <v>1086</v>
      </c>
      <c r="C517" s="15" t="s">
        <v>160</v>
      </c>
      <c r="D517" s="15" t="s">
        <v>36</v>
      </c>
      <c r="E517" s="15" t="s">
        <v>284</v>
      </c>
      <c r="F517" s="16" t="n">
        <v>41</v>
      </c>
      <c r="G517" s="16" t="n">
        <v>4</v>
      </c>
      <c r="H517" s="29" t="n">
        <v>3151.95</v>
      </c>
      <c r="I517" s="29" t="n">
        <f aca="false">H517/G517</f>
        <v>787.9875</v>
      </c>
      <c r="J517" s="15" t="s">
        <v>280</v>
      </c>
      <c r="K517" s="15" t="s">
        <v>281</v>
      </c>
    </row>
    <row r="518" customFormat="false" ht="18.75" hidden="false" customHeight="true" outlineLevel="0" collapsed="false">
      <c r="A518" s="10" t="s">
        <v>1087</v>
      </c>
      <c r="B518" s="10" t="s">
        <v>1088</v>
      </c>
      <c r="C518" s="10" t="s">
        <v>166</v>
      </c>
      <c r="D518" s="10" t="s">
        <v>35</v>
      </c>
      <c r="E518" s="10" t="s">
        <v>284</v>
      </c>
      <c r="F518" s="11" t="n">
        <v>72</v>
      </c>
      <c r="G518" s="11" t="n">
        <v>9</v>
      </c>
      <c r="H518" s="26" t="n">
        <v>3148.54</v>
      </c>
      <c r="I518" s="26" t="n">
        <f aca="false">H518/G518</f>
        <v>349.837777777778</v>
      </c>
      <c r="J518" s="10" t="s">
        <v>189</v>
      </c>
      <c r="K518" s="10" t="s">
        <v>190</v>
      </c>
    </row>
    <row r="519" customFormat="false" ht="18.75" hidden="false" customHeight="true" outlineLevel="0" collapsed="false">
      <c r="A519" s="15" t="s">
        <v>1089</v>
      </c>
      <c r="B519" s="15" t="s">
        <v>1090</v>
      </c>
      <c r="C519" s="15" t="s">
        <v>207</v>
      </c>
      <c r="D519" s="15" t="s">
        <v>35</v>
      </c>
      <c r="E519" s="15" t="s">
        <v>284</v>
      </c>
      <c r="F519" s="16" t="n">
        <v>78</v>
      </c>
      <c r="G519" s="16" t="n">
        <v>9</v>
      </c>
      <c r="H519" s="29" t="n">
        <v>3147.73</v>
      </c>
      <c r="I519" s="29" t="n">
        <f aca="false">H519/G519</f>
        <v>349.747777777778</v>
      </c>
      <c r="J519" s="15" t="s">
        <v>189</v>
      </c>
      <c r="K519" s="15" t="s">
        <v>190</v>
      </c>
    </row>
    <row r="520" customFormat="false" ht="18.75" hidden="false" customHeight="true" outlineLevel="0" collapsed="false">
      <c r="A520" s="10" t="s">
        <v>1091</v>
      </c>
      <c r="B520" s="10" t="s">
        <v>1092</v>
      </c>
      <c r="C520" s="10" t="s">
        <v>163</v>
      </c>
      <c r="D520" s="10" t="s">
        <v>36</v>
      </c>
      <c r="E520" s="10" t="s">
        <v>284</v>
      </c>
      <c r="F520" s="11" t="n">
        <v>33</v>
      </c>
      <c r="G520" s="11" t="n">
        <v>11</v>
      </c>
      <c r="H520" s="26" t="n">
        <v>3146.24</v>
      </c>
      <c r="I520" s="26" t="n">
        <f aca="false">H520/G520</f>
        <v>286.021818181818</v>
      </c>
      <c r="J520" s="10" t="s">
        <v>171</v>
      </c>
      <c r="K520" s="10" t="s">
        <v>172</v>
      </c>
    </row>
    <row r="521" customFormat="false" ht="18.75" hidden="false" customHeight="true" outlineLevel="0" collapsed="false">
      <c r="A521" s="15" t="s">
        <v>1093</v>
      </c>
      <c r="B521" s="15" t="s">
        <v>1094</v>
      </c>
      <c r="C521" s="15" t="s">
        <v>163</v>
      </c>
      <c r="D521" s="15" t="s">
        <v>36</v>
      </c>
      <c r="E521" s="15" t="s">
        <v>284</v>
      </c>
      <c r="F521" s="16" t="n">
        <v>14</v>
      </c>
      <c r="G521" s="16" t="n">
        <v>4</v>
      </c>
      <c r="H521" s="29" t="n">
        <v>3143.7</v>
      </c>
      <c r="I521" s="29" t="n">
        <f aca="false">H521/G521</f>
        <v>785.925</v>
      </c>
      <c r="J521" s="15" t="s">
        <v>280</v>
      </c>
      <c r="K521" s="15" t="s">
        <v>281</v>
      </c>
    </row>
    <row r="522" customFormat="false" ht="18.75" hidden="false" customHeight="true" outlineLevel="0" collapsed="false">
      <c r="A522" s="10" t="s">
        <v>1095</v>
      </c>
      <c r="B522" s="10" t="s">
        <v>178</v>
      </c>
      <c r="C522" s="10" t="s">
        <v>216</v>
      </c>
      <c r="D522" s="10" t="s">
        <v>34</v>
      </c>
      <c r="E522" s="10" t="s">
        <v>284</v>
      </c>
      <c r="F522" s="11" t="n">
        <v>21</v>
      </c>
      <c r="G522" s="11" t="n">
        <v>6</v>
      </c>
      <c r="H522" s="26" t="n">
        <v>3143.6</v>
      </c>
      <c r="I522" s="26" t="n">
        <f aca="false">H522/G522</f>
        <v>523.933333333333</v>
      </c>
      <c r="J522" s="10" t="s">
        <v>171</v>
      </c>
      <c r="K522" s="10" t="s">
        <v>172</v>
      </c>
    </row>
    <row r="523" customFormat="false" ht="18.75" hidden="false" customHeight="true" outlineLevel="0" collapsed="false">
      <c r="A523" s="15" t="s">
        <v>1096</v>
      </c>
      <c r="B523" s="15" t="s">
        <v>1097</v>
      </c>
      <c r="C523" s="15" t="s">
        <v>216</v>
      </c>
      <c r="D523" s="15" t="s">
        <v>34</v>
      </c>
      <c r="E523" s="15" t="s">
        <v>284</v>
      </c>
      <c r="F523" s="16" t="n">
        <v>11</v>
      </c>
      <c r="G523" s="16" t="n">
        <v>8</v>
      </c>
      <c r="H523" s="29" t="n">
        <v>3143.46</v>
      </c>
      <c r="I523" s="29" t="n">
        <f aca="false">H523/G523</f>
        <v>392.9325</v>
      </c>
      <c r="J523" s="15" t="s">
        <v>171</v>
      </c>
      <c r="K523" s="15" t="s">
        <v>172</v>
      </c>
    </row>
    <row r="524" customFormat="false" ht="18.75" hidden="false" customHeight="true" outlineLevel="0" collapsed="false">
      <c r="A524" s="10" t="s">
        <v>1098</v>
      </c>
      <c r="B524" s="10" t="s">
        <v>271</v>
      </c>
      <c r="C524" s="10" t="s">
        <v>163</v>
      </c>
      <c r="D524" s="10" t="s">
        <v>36</v>
      </c>
      <c r="E524" s="10" t="s">
        <v>384</v>
      </c>
      <c r="F524" s="11" t="n">
        <v>25</v>
      </c>
      <c r="G524" s="11" t="n">
        <v>8</v>
      </c>
      <c r="H524" s="26" t="n">
        <v>3138.44</v>
      </c>
      <c r="I524" s="26" t="n">
        <f aca="false">H524/G524</f>
        <v>392.305</v>
      </c>
      <c r="J524" s="10" t="s">
        <v>171</v>
      </c>
      <c r="K524" s="10" t="s">
        <v>172</v>
      </c>
    </row>
    <row r="525" customFormat="false" ht="18.75" hidden="false" customHeight="true" outlineLevel="0" collapsed="false">
      <c r="A525" s="15" t="s">
        <v>1099</v>
      </c>
      <c r="B525" s="15" t="s">
        <v>910</v>
      </c>
      <c r="C525" s="15" t="s">
        <v>155</v>
      </c>
      <c r="D525" s="15" t="s">
        <v>34</v>
      </c>
      <c r="E525" s="15" t="s">
        <v>284</v>
      </c>
      <c r="F525" s="16" t="n">
        <v>91</v>
      </c>
      <c r="G525" s="16" t="n">
        <v>7</v>
      </c>
      <c r="H525" s="29" t="n">
        <v>3133</v>
      </c>
      <c r="I525" s="29" t="n">
        <f aca="false">H525/G525</f>
        <v>447.571428571429</v>
      </c>
      <c r="J525" s="15" t="s">
        <v>189</v>
      </c>
      <c r="K525" s="15" t="s">
        <v>190</v>
      </c>
    </row>
    <row r="526" customFormat="false" ht="18.75" hidden="false" customHeight="true" outlineLevel="0" collapsed="false">
      <c r="A526" s="10" t="s">
        <v>1100</v>
      </c>
      <c r="B526" s="10" t="s">
        <v>1101</v>
      </c>
      <c r="C526" s="10" t="s">
        <v>219</v>
      </c>
      <c r="D526" s="10" t="s">
        <v>35</v>
      </c>
      <c r="E526" s="10" t="s">
        <v>284</v>
      </c>
      <c r="F526" s="11" t="n">
        <v>225</v>
      </c>
      <c r="G526" s="11" t="n">
        <v>2</v>
      </c>
      <c r="H526" s="26" t="n">
        <v>3121.25</v>
      </c>
      <c r="I526" s="26" t="n">
        <f aca="false">H526/G526</f>
        <v>1560.625</v>
      </c>
      <c r="J526" s="10" t="s">
        <v>253</v>
      </c>
      <c r="K526" s="10" t="s">
        <v>254</v>
      </c>
    </row>
    <row r="527" customFormat="false" ht="18.75" hidden="false" customHeight="true" outlineLevel="0" collapsed="false">
      <c r="A527" s="15" t="s">
        <v>1102</v>
      </c>
      <c r="B527" s="15" t="s">
        <v>1103</v>
      </c>
      <c r="C527" s="15" t="s">
        <v>199</v>
      </c>
      <c r="D527" s="15" t="s">
        <v>36</v>
      </c>
      <c r="E527" s="15" t="s">
        <v>284</v>
      </c>
      <c r="F527" s="16" t="n">
        <v>98</v>
      </c>
      <c r="G527" s="16" t="n">
        <v>4</v>
      </c>
      <c r="H527" s="29" t="n">
        <v>3081.88</v>
      </c>
      <c r="I527" s="29" t="n">
        <f aca="false">H527/G527</f>
        <v>770.47</v>
      </c>
      <c r="J527" s="15" t="s">
        <v>253</v>
      </c>
      <c r="K527" s="15" t="s">
        <v>254</v>
      </c>
    </row>
    <row r="528" customFormat="false" ht="18.75" hidden="false" customHeight="true" outlineLevel="0" collapsed="false">
      <c r="A528" s="10" t="s">
        <v>1104</v>
      </c>
      <c r="B528" s="10" t="s">
        <v>1105</v>
      </c>
      <c r="C528" s="10" t="s">
        <v>184</v>
      </c>
      <c r="D528" s="10" t="s">
        <v>34</v>
      </c>
      <c r="E528" s="10" t="s">
        <v>284</v>
      </c>
      <c r="F528" s="11" t="n">
        <v>1</v>
      </c>
      <c r="G528" s="11" t="n">
        <v>3</v>
      </c>
      <c r="H528" s="26" t="n">
        <v>3072.8</v>
      </c>
      <c r="I528" s="26" t="n">
        <f aca="false">H528/G528</f>
        <v>1024.26666666667</v>
      </c>
      <c r="J528" s="10" t="s">
        <v>280</v>
      </c>
      <c r="K528" s="10" t="s">
        <v>281</v>
      </c>
    </row>
    <row r="529" customFormat="false" ht="18.75" hidden="false" customHeight="true" outlineLevel="0" collapsed="false">
      <c r="A529" s="15" t="s">
        <v>1106</v>
      </c>
      <c r="B529" s="15" t="s">
        <v>369</v>
      </c>
      <c r="C529" s="15" t="s">
        <v>184</v>
      </c>
      <c r="D529" s="15" t="s">
        <v>34</v>
      </c>
      <c r="E529" s="15" t="s">
        <v>284</v>
      </c>
      <c r="F529" s="16" t="n">
        <v>7</v>
      </c>
      <c r="G529" s="16" t="n">
        <v>8</v>
      </c>
      <c r="H529" s="29" t="n">
        <v>3068.49</v>
      </c>
      <c r="I529" s="29" t="n">
        <f aca="false">H529/G529</f>
        <v>383.56125</v>
      </c>
      <c r="J529" s="15" t="s">
        <v>171</v>
      </c>
      <c r="K529" s="15" t="s">
        <v>172</v>
      </c>
    </row>
    <row r="530" customFormat="false" ht="18.75" hidden="false" customHeight="true" outlineLevel="0" collapsed="false">
      <c r="A530" s="10" t="s">
        <v>1107</v>
      </c>
      <c r="B530" s="10" t="s">
        <v>742</v>
      </c>
      <c r="C530" s="10" t="s">
        <v>219</v>
      </c>
      <c r="D530" s="10" t="s">
        <v>35</v>
      </c>
      <c r="E530" s="10" t="s">
        <v>284</v>
      </c>
      <c r="F530" s="11" t="n">
        <v>119</v>
      </c>
      <c r="G530" s="11" t="n">
        <v>6</v>
      </c>
      <c r="H530" s="26" t="n">
        <v>3060.49</v>
      </c>
      <c r="I530" s="26" t="n">
        <f aca="false">H530/G530</f>
        <v>510.081666666667</v>
      </c>
      <c r="J530" s="10" t="s">
        <v>268</v>
      </c>
      <c r="K530" s="10" t="s">
        <v>269</v>
      </c>
    </row>
    <row r="531" customFormat="false" ht="18.75" hidden="false" customHeight="true" outlineLevel="0" collapsed="false">
      <c r="A531" s="15" t="s">
        <v>1108</v>
      </c>
      <c r="B531" s="15" t="s">
        <v>1109</v>
      </c>
      <c r="C531" s="15" t="s">
        <v>166</v>
      </c>
      <c r="D531" s="15" t="s">
        <v>35</v>
      </c>
      <c r="E531" s="15" t="s">
        <v>284</v>
      </c>
      <c r="F531" s="16" t="n">
        <v>28</v>
      </c>
      <c r="G531" s="16" t="n">
        <v>10</v>
      </c>
      <c r="H531" s="29" t="n">
        <v>3049.2</v>
      </c>
      <c r="I531" s="29" t="n">
        <f aca="false">H531/G531</f>
        <v>304.92</v>
      </c>
      <c r="J531" s="15" t="s">
        <v>171</v>
      </c>
      <c r="K531" s="15" t="s">
        <v>172</v>
      </c>
    </row>
    <row r="532" customFormat="false" ht="18.75" hidden="false" customHeight="true" outlineLevel="0" collapsed="false">
      <c r="A532" s="10" t="s">
        <v>1110</v>
      </c>
      <c r="B532" s="10" t="s">
        <v>1111</v>
      </c>
      <c r="C532" s="10" t="s">
        <v>226</v>
      </c>
      <c r="D532" s="10" t="s">
        <v>36</v>
      </c>
      <c r="E532" s="10" t="s">
        <v>141</v>
      </c>
      <c r="F532" s="11" t="n">
        <v>60</v>
      </c>
      <c r="G532" s="11" t="n">
        <v>2</v>
      </c>
      <c r="H532" s="26" t="n">
        <v>3042.44</v>
      </c>
      <c r="I532" s="26" t="n">
        <f aca="false">H532/G532</f>
        <v>1521.22</v>
      </c>
      <c r="J532" s="10" t="s">
        <v>253</v>
      </c>
      <c r="K532" s="10" t="s">
        <v>254</v>
      </c>
    </row>
    <row r="533" customFormat="false" ht="18.75" hidden="false" customHeight="true" outlineLevel="0" collapsed="false">
      <c r="A533" s="15" t="s">
        <v>1112</v>
      </c>
      <c r="B533" s="15" t="s">
        <v>1113</v>
      </c>
      <c r="C533" s="15" t="s">
        <v>216</v>
      </c>
      <c r="D533" s="15" t="s">
        <v>34</v>
      </c>
      <c r="E533" s="15" t="s">
        <v>284</v>
      </c>
      <c r="F533" s="16" t="n">
        <v>6</v>
      </c>
      <c r="G533" s="16" t="n">
        <v>4</v>
      </c>
      <c r="H533" s="29" t="n">
        <v>3037.85</v>
      </c>
      <c r="I533" s="29" t="n">
        <f aca="false">H533/G533</f>
        <v>759.4625</v>
      </c>
      <c r="J533" s="15" t="s">
        <v>280</v>
      </c>
      <c r="K533" s="15" t="s">
        <v>281</v>
      </c>
    </row>
    <row r="534" customFormat="false" ht="18.75" hidden="false" customHeight="true" outlineLevel="0" collapsed="false">
      <c r="A534" s="10" t="s">
        <v>1114</v>
      </c>
      <c r="B534" s="10" t="s">
        <v>1115</v>
      </c>
      <c r="C534" s="10" t="s">
        <v>163</v>
      </c>
      <c r="D534" s="10" t="s">
        <v>36</v>
      </c>
      <c r="E534" s="10" t="s">
        <v>284</v>
      </c>
      <c r="F534" s="11" t="n">
        <v>12</v>
      </c>
      <c r="G534" s="11" t="n">
        <v>9</v>
      </c>
      <c r="H534" s="26" t="n">
        <v>3029.67</v>
      </c>
      <c r="I534" s="26" t="n">
        <f aca="false">H534/G534</f>
        <v>336.63</v>
      </c>
      <c r="J534" s="10" t="s">
        <v>171</v>
      </c>
      <c r="K534" s="10" t="s">
        <v>172</v>
      </c>
    </row>
    <row r="535" customFormat="false" ht="18.75" hidden="false" customHeight="true" outlineLevel="0" collapsed="false">
      <c r="A535" s="15" t="s">
        <v>1116</v>
      </c>
      <c r="B535" s="15" t="s">
        <v>1117</v>
      </c>
      <c r="C535" s="15" t="s">
        <v>166</v>
      </c>
      <c r="D535" s="15" t="s">
        <v>35</v>
      </c>
      <c r="E535" s="15" t="s">
        <v>284</v>
      </c>
      <c r="F535" s="16" t="n">
        <v>116</v>
      </c>
      <c r="G535" s="16" t="n">
        <v>5</v>
      </c>
      <c r="H535" s="29" t="n">
        <v>3002.39</v>
      </c>
      <c r="I535" s="29" t="n">
        <f aca="false">H535/G535</f>
        <v>600.478</v>
      </c>
      <c r="J535" s="15" t="s">
        <v>268</v>
      </c>
      <c r="K535" s="15" t="s">
        <v>269</v>
      </c>
    </row>
    <row r="536" customFormat="false" ht="18.75" hidden="false" customHeight="true" outlineLevel="0" collapsed="false">
      <c r="A536" s="10" t="s">
        <v>1118</v>
      </c>
      <c r="B536" s="10" t="s">
        <v>1119</v>
      </c>
      <c r="C536" s="10" t="s">
        <v>219</v>
      </c>
      <c r="D536" s="10" t="s">
        <v>35</v>
      </c>
      <c r="E536" s="10" t="s">
        <v>284</v>
      </c>
      <c r="F536" s="11" t="n">
        <v>64</v>
      </c>
      <c r="G536" s="11" t="n">
        <v>9</v>
      </c>
      <c r="H536" s="26" t="n">
        <v>2994.31</v>
      </c>
      <c r="I536" s="26" t="n">
        <f aca="false">H536/G536</f>
        <v>332.701111111111</v>
      </c>
      <c r="J536" s="10" t="s">
        <v>189</v>
      </c>
      <c r="K536" s="10" t="s">
        <v>190</v>
      </c>
    </row>
    <row r="537" customFormat="false" ht="18.75" hidden="false" customHeight="true" outlineLevel="0" collapsed="false">
      <c r="A537" s="15" t="s">
        <v>1120</v>
      </c>
      <c r="B537" s="15" t="s">
        <v>927</v>
      </c>
      <c r="C537" s="15" t="s">
        <v>207</v>
      </c>
      <c r="D537" s="15" t="s">
        <v>35</v>
      </c>
      <c r="E537" s="15" t="s">
        <v>284</v>
      </c>
      <c r="F537" s="16" t="n">
        <v>45</v>
      </c>
      <c r="G537" s="16" t="n">
        <v>6</v>
      </c>
      <c r="H537" s="29" t="n">
        <v>2989.98</v>
      </c>
      <c r="I537" s="29" t="n">
        <f aca="false">H537/G537</f>
        <v>498.33</v>
      </c>
      <c r="J537" s="15" t="s">
        <v>171</v>
      </c>
      <c r="K537" s="15" t="s">
        <v>172</v>
      </c>
    </row>
    <row r="538" customFormat="false" ht="18.75" hidden="false" customHeight="true" outlineLevel="0" collapsed="false">
      <c r="A538" s="10" t="s">
        <v>1121</v>
      </c>
      <c r="B538" s="10" t="s">
        <v>1122</v>
      </c>
      <c r="C538" s="10" t="s">
        <v>160</v>
      </c>
      <c r="D538" s="10" t="s">
        <v>36</v>
      </c>
      <c r="E538" s="10" t="s">
        <v>284</v>
      </c>
      <c r="F538" s="11" t="n">
        <v>23</v>
      </c>
      <c r="G538" s="11" t="n">
        <v>10</v>
      </c>
      <c r="H538" s="26" t="n">
        <v>2983.27</v>
      </c>
      <c r="I538" s="26" t="n">
        <f aca="false">H538/G538</f>
        <v>298.327</v>
      </c>
      <c r="J538" s="10" t="s">
        <v>171</v>
      </c>
      <c r="K538" s="10" t="s">
        <v>172</v>
      </c>
    </row>
    <row r="539" customFormat="false" ht="18.75" hidden="false" customHeight="true" outlineLevel="0" collapsed="false">
      <c r="A539" s="15" t="s">
        <v>1123</v>
      </c>
      <c r="B539" s="15" t="s">
        <v>1124</v>
      </c>
      <c r="C539" s="15" t="s">
        <v>207</v>
      </c>
      <c r="D539" s="15" t="s">
        <v>35</v>
      </c>
      <c r="E539" s="15" t="s">
        <v>284</v>
      </c>
      <c r="F539" s="16" t="n">
        <v>41</v>
      </c>
      <c r="G539" s="16" t="n">
        <v>10</v>
      </c>
      <c r="H539" s="29" t="n">
        <v>2973.14</v>
      </c>
      <c r="I539" s="29" t="n">
        <f aca="false">H539/G539</f>
        <v>297.314</v>
      </c>
      <c r="J539" s="15" t="s">
        <v>171</v>
      </c>
      <c r="K539" s="15" t="s">
        <v>172</v>
      </c>
    </row>
    <row r="540" customFormat="false" ht="18.75" hidden="false" customHeight="true" outlineLevel="0" collapsed="false">
      <c r="A540" s="10" t="s">
        <v>1125</v>
      </c>
      <c r="B540" s="10" t="s">
        <v>945</v>
      </c>
      <c r="C540" s="10" t="s">
        <v>140</v>
      </c>
      <c r="D540" s="10" t="s">
        <v>35</v>
      </c>
      <c r="E540" s="10" t="s">
        <v>284</v>
      </c>
      <c r="F540" s="11" t="n">
        <v>90</v>
      </c>
      <c r="G540" s="11" t="n">
        <v>9</v>
      </c>
      <c r="H540" s="26" t="n">
        <v>2968.08</v>
      </c>
      <c r="I540" s="26" t="n">
        <f aca="false">H540/G540</f>
        <v>329.786666666667</v>
      </c>
      <c r="J540" s="10" t="s">
        <v>189</v>
      </c>
      <c r="K540" s="10" t="s">
        <v>190</v>
      </c>
    </row>
    <row r="541" customFormat="false" ht="18.75" hidden="false" customHeight="true" outlineLevel="0" collapsed="false">
      <c r="A541" s="15" t="s">
        <v>1126</v>
      </c>
      <c r="B541" s="15" t="s">
        <v>336</v>
      </c>
      <c r="C541" s="15" t="s">
        <v>149</v>
      </c>
      <c r="D541" s="15" t="s">
        <v>35</v>
      </c>
      <c r="E541" s="15" t="s">
        <v>284</v>
      </c>
      <c r="F541" s="16" t="n">
        <v>138</v>
      </c>
      <c r="G541" s="16" t="n">
        <v>8</v>
      </c>
      <c r="H541" s="29" t="n">
        <v>2967.3</v>
      </c>
      <c r="I541" s="29" t="n">
        <f aca="false">H541/G541</f>
        <v>370.9125</v>
      </c>
      <c r="J541" s="15" t="s">
        <v>268</v>
      </c>
      <c r="K541" s="15" t="s">
        <v>269</v>
      </c>
    </row>
    <row r="542" customFormat="false" ht="18.75" hidden="false" customHeight="true" outlineLevel="0" collapsed="false">
      <c r="A542" s="10" t="s">
        <v>1127</v>
      </c>
      <c r="B542" s="10" t="s">
        <v>1128</v>
      </c>
      <c r="C542" s="10" t="s">
        <v>181</v>
      </c>
      <c r="D542" s="10" t="s">
        <v>36</v>
      </c>
      <c r="E542" s="10" t="s">
        <v>284</v>
      </c>
      <c r="F542" s="11" t="n">
        <v>46</v>
      </c>
      <c r="G542" s="11" t="n">
        <v>8</v>
      </c>
      <c r="H542" s="26" t="n">
        <v>2965.93</v>
      </c>
      <c r="I542" s="26" t="n">
        <f aca="false">H542/G542</f>
        <v>370.74125</v>
      </c>
      <c r="J542" s="10" t="s">
        <v>171</v>
      </c>
      <c r="K542" s="10" t="s">
        <v>172</v>
      </c>
    </row>
    <row r="543" customFormat="false" ht="18.75" hidden="false" customHeight="true" outlineLevel="0" collapsed="false">
      <c r="A543" s="15" t="s">
        <v>1129</v>
      </c>
      <c r="B543" s="15" t="s">
        <v>1130</v>
      </c>
      <c r="C543" s="15" t="s">
        <v>160</v>
      </c>
      <c r="D543" s="15" t="s">
        <v>36</v>
      </c>
      <c r="E543" s="15" t="s">
        <v>284</v>
      </c>
      <c r="F543" s="16" t="n">
        <v>35</v>
      </c>
      <c r="G543" s="16" t="n">
        <v>5</v>
      </c>
      <c r="H543" s="29" t="n">
        <v>2963.6</v>
      </c>
      <c r="I543" s="29" t="n">
        <f aca="false">H543/G543</f>
        <v>592.72</v>
      </c>
      <c r="J543" s="15" t="s">
        <v>171</v>
      </c>
      <c r="K543" s="15" t="s">
        <v>172</v>
      </c>
    </row>
    <row r="544" customFormat="false" ht="18.75" hidden="false" customHeight="true" outlineLevel="0" collapsed="false">
      <c r="A544" s="10" t="s">
        <v>1131</v>
      </c>
      <c r="B544" s="10" t="s">
        <v>183</v>
      </c>
      <c r="C544" s="10" t="s">
        <v>166</v>
      </c>
      <c r="D544" s="10" t="s">
        <v>35</v>
      </c>
      <c r="E544" s="10" t="s">
        <v>284</v>
      </c>
      <c r="F544" s="11" t="n">
        <v>10</v>
      </c>
      <c r="G544" s="11" t="n">
        <v>6</v>
      </c>
      <c r="H544" s="26" t="n">
        <v>2943</v>
      </c>
      <c r="I544" s="26" t="n">
        <f aca="false">H544/G544</f>
        <v>490.5</v>
      </c>
      <c r="J544" s="10" t="s">
        <v>171</v>
      </c>
      <c r="K544" s="10" t="s">
        <v>172</v>
      </c>
    </row>
    <row r="545" customFormat="false" ht="18.75" hidden="false" customHeight="true" outlineLevel="0" collapsed="false">
      <c r="A545" s="15" t="s">
        <v>1132</v>
      </c>
      <c r="B545" s="15" t="s">
        <v>1133</v>
      </c>
      <c r="C545" s="15" t="s">
        <v>219</v>
      </c>
      <c r="D545" s="15" t="s">
        <v>35</v>
      </c>
      <c r="E545" s="15" t="s">
        <v>284</v>
      </c>
      <c r="F545" s="16" t="n">
        <v>52</v>
      </c>
      <c r="G545" s="16" t="n">
        <v>9</v>
      </c>
      <c r="H545" s="29" t="n">
        <v>2937.63</v>
      </c>
      <c r="I545" s="29" t="n">
        <f aca="false">H545/G545</f>
        <v>326.403333333333</v>
      </c>
      <c r="J545" s="15" t="s">
        <v>189</v>
      </c>
      <c r="K545" s="15" t="s">
        <v>190</v>
      </c>
    </row>
    <row r="546" customFormat="false" ht="18.75" hidden="false" customHeight="true" outlineLevel="0" collapsed="false">
      <c r="A546" s="10" t="s">
        <v>1134</v>
      </c>
      <c r="B546" s="10" t="s">
        <v>218</v>
      </c>
      <c r="C546" s="10" t="s">
        <v>207</v>
      </c>
      <c r="D546" s="10" t="s">
        <v>35</v>
      </c>
      <c r="E546" s="10" t="s">
        <v>284</v>
      </c>
      <c r="F546" s="11" t="n">
        <v>6</v>
      </c>
      <c r="G546" s="11" t="n">
        <v>6</v>
      </c>
      <c r="H546" s="26" t="n">
        <v>2926.03</v>
      </c>
      <c r="I546" s="26" t="n">
        <f aca="false">H546/G546</f>
        <v>487.671666666667</v>
      </c>
      <c r="J546" s="10" t="s">
        <v>171</v>
      </c>
      <c r="K546" s="10" t="s">
        <v>172</v>
      </c>
    </row>
    <row r="547" customFormat="false" ht="18.75" hidden="false" customHeight="true" outlineLevel="0" collapsed="false">
      <c r="A547" s="15" t="s">
        <v>1135</v>
      </c>
      <c r="B547" s="15" t="s">
        <v>1136</v>
      </c>
      <c r="C547" s="15" t="s">
        <v>149</v>
      </c>
      <c r="D547" s="15" t="s">
        <v>35</v>
      </c>
      <c r="E547" s="15" t="s">
        <v>284</v>
      </c>
      <c r="F547" s="16" t="n">
        <v>34</v>
      </c>
      <c r="G547" s="16" t="n">
        <v>6</v>
      </c>
      <c r="H547" s="29" t="n">
        <v>2922.23</v>
      </c>
      <c r="I547" s="29" t="n">
        <f aca="false">H547/G547</f>
        <v>487.038333333333</v>
      </c>
      <c r="J547" s="15" t="s">
        <v>171</v>
      </c>
      <c r="K547" s="15" t="s">
        <v>172</v>
      </c>
    </row>
    <row r="548" customFormat="false" ht="18.75" hidden="false" customHeight="true" outlineLevel="0" collapsed="false">
      <c r="A548" s="10" t="s">
        <v>1137</v>
      </c>
      <c r="B548" s="10" t="s">
        <v>1138</v>
      </c>
      <c r="C548" s="10" t="s">
        <v>166</v>
      </c>
      <c r="D548" s="10" t="s">
        <v>35</v>
      </c>
      <c r="E548" s="10" t="s">
        <v>284</v>
      </c>
      <c r="F548" s="11" t="n">
        <v>55</v>
      </c>
      <c r="G548" s="11" t="n">
        <v>7</v>
      </c>
      <c r="H548" s="26" t="n">
        <v>2919.4</v>
      </c>
      <c r="I548" s="26" t="n">
        <f aca="false">H548/G548</f>
        <v>417.057142857143</v>
      </c>
      <c r="J548" s="10" t="s">
        <v>189</v>
      </c>
      <c r="K548" s="10" t="s">
        <v>190</v>
      </c>
    </row>
    <row r="549" customFormat="false" ht="18.75" hidden="false" customHeight="true" outlineLevel="0" collapsed="false">
      <c r="A549" s="15" t="s">
        <v>1139</v>
      </c>
      <c r="B549" s="15" t="s">
        <v>1140</v>
      </c>
      <c r="C549" s="15" t="s">
        <v>181</v>
      </c>
      <c r="D549" s="15" t="s">
        <v>36</v>
      </c>
      <c r="E549" s="15" t="s">
        <v>284</v>
      </c>
      <c r="F549" s="16" t="n">
        <v>5</v>
      </c>
      <c r="G549" s="16" t="n">
        <v>8</v>
      </c>
      <c r="H549" s="29" t="n">
        <v>2900.14</v>
      </c>
      <c r="I549" s="29" t="n">
        <f aca="false">H549/G549</f>
        <v>362.5175</v>
      </c>
      <c r="J549" s="15" t="s">
        <v>171</v>
      </c>
      <c r="K549" s="15" t="s">
        <v>172</v>
      </c>
    </row>
    <row r="550" customFormat="false" ht="18.75" hidden="false" customHeight="true" outlineLevel="0" collapsed="false">
      <c r="A550" s="10" t="s">
        <v>1141</v>
      </c>
      <c r="B550" s="10" t="s">
        <v>800</v>
      </c>
      <c r="C550" s="10" t="s">
        <v>226</v>
      </c>
      <c r="D550" s="10" t="s">
        <v>36</v>
      </c>
      <c r="E550" s="10" t="s">
        <v>284</v>
      </c>
      <c r="F550" s="11" t="n">
        <v>123</v>
      </c>
      <c r="G550" s="11" t="n">
        <v>6</v>
      </c>
      <c r="H550" s="26" t="n">
        <v>2895.9</v>
      </c>
      <c r="I550" s="26" t="n">
        <f aca="false">H550/G550</f>
        <v>482.65</v>
      </c>
      <c r="J550" s="10" t="s">
        <v>268</v>
      </c>
      <c r="K550" s="10" t="s">
        <v>269</v>
      </c>
    </row>
    <row r="551" customFormat="false" ht="18.75" hidden="false" customHeight="true" outlineLevel="0" collapsed="false">
      <c r="A551" s="15" t="s">
        <v>1142</v>
      </c>
      <c r="B551" s="15" t="s">
        <v>1143</v>
      </c>
      <c r="C551" s="15" t="s">
        <v>163</v>
      </c>
      <c r="D551" s="15" t="s">
        <v>36</v>
      </c>
      <c r="E551" s="15" t="s">
        <v>284</v>
      </c>
      <c r="F551" s="16" t="n">
        <v>13</v>
      </c>
      <c r="G551" s="16" t="n">
        <v>7</v>
      </c>
      <c r="H551" s="29" t="n">
        <v>2893</v>
      </c>
      <c r="I551" s="29" t="n">
        <f aca="false">H551/G551</f>
        <v>413.285714285714</v>
      </c>
      <c r="J551" s="15" t="s">
        <v>171</v>
      </c>
      <c r="K551" s="15" t="s">
        <v>172</v>
      </c>
    </row>
    <row r="552" customFormat="false" ht="18.75" hidden="false" customHeight="true" outlineLevel="0" collapsed="false">
      <c r="A552" s="10" t="s">
        <v>1144</v>
      </c>
      <c r="B552" s="10" t="s">
        <v>1145</v>
      </c>
      <c r="C552" s="10" t="s">
        <v>166</v>
      </c>
      <c r="D552" s="10" t="s">
        <v>35</v>
      </c>
      <c r="E552" s="10" t="s">
        <v>284</v>
      </c>
      <c r="F552" s="11" t="n">
        <v>40</v>
      </c>
      <c r="G552" s="11" t="n">
        <v>10</v>
      </c>
      <c r="H552" s="26" t="n">
        <v>2886.68</v>
      </c>
      <c r="I552" s="26" t="n">
        <f aca="false">H552/G552</f>
        <v>288.668</v>
      </c>
      <c r="J552" s="10" t="s">
        <v>171</v>
      </c>
      <c r="K552" s="10" t="s">
        <v>172</v>
      </c>
    </row>
    <row r="553" customFormat="false" ht="18.75" hidden="false" customHeight="true" outlineLevel="0" collapsed="false">
      <c r="A553" s="15" t="s">
        <v>1146</v>
      </c>
      <c r="B553" s="15" t="s">
        <v>962</v>
      </c>
      <c r="C553" s="15" t="s">
        <v>226</v>
      </c>
      <c r="D553" s="15" t="s">
        <v>36</v>
      </c>
      <c r="E553" s="15" t="s">
        <v>284</v>
      </c>
      <c r="F553" s="16" t="n">
        <v>13</v>
      </c>
      <c r="G553" s="16" t="n">
        <v>9</v>
      </c>
      <c r="H553" s="29" t="n">
        <v>2879.47</v>
      </c>
      <c r="I553" s="29" t="n">
        <f aca="false">H553/G553</f>
        <v>319.941111111111</v>
      </c>
      <c r="J553" s="15" t="s">
        <v>171</v>
      </c>
      <c r="K553" s="15" t="s">
        <v>172</v>
      </c>
    </row>
    <row r="554" customFormat="false" ht="18.75" hidden="false" customHeight="true" outlineLevel="0" collapsed="false">
      <c r="A554" s="10" t="s">
        <v>1147</v>
      </c>
      <c r="B554" s="10" t="s">
        <v>1148</v>
      </c>
      <c r="C554" s="10" t="s">
        <v>207</v>
      </c>
      <c r="D554" s="10" t="s">
        <v>35</v>
      </c>
      <c r="E554" s="10" t="s">
        <v>284</v>
      </c>
      <c r="F554" s="11" t="n">
        <v>20</v>
      </c>
      <c r="G554" s="11" t="n">
        <v>5</v>
      </c>
      <c r="H554" s="26" t="n">
        <v>2870.6</v>
      </c>
      <c r="I554" s="26" t="n">
        <f aca="false">H554/G554</f>
        <v>574.12</v>
      </c>
      <c r="J554" s="10" t="s">
        <v>171</v>
      </c>
      <c r="K554" s="10" t="s">
        <v>172</v>
      </c>
    </row>
    <row r="555" customFormat="false" ht="18.75" hidden="false" customHeight="true" outlineLevel="0" collapsed="false">
      <c r="A555" s="15" t="s">
        <v>1149</v>
      </c>
      <c r="B555" s="15" t="s">
        <v>1150</v>
      </c>
      <c r="C555" s="15" t="s">
        <v>146</v>
      </c>
      <c r="D555" s="15" t="s">
        <v>34</v>
      </c>
      <c r="E555" s="15" t="s">
        <v>284</v>
      </c>
      <c r="F555" s="16" t="n">
        <v>59</v>
      </c>
      <c r="G555" s="16" t="n">
        <v>6</v>
      </c>
      <c r="H555" s="29" t="n">
        <v>2867</v>
      </c>
      <c r="I555" s="29" t="n">
        <f aca="false">H555/G555</f>
        <v>477.833333333333</v>
      </c>
      <c r="J555" s="15" t="s">
        <v>189</v>
      </c>
      <c r="K555" s="15" t="s">
        <v>190</v>
      </c>
    </row>
    <row r="556" customFormat="false" ht="18.75" hidden="false" customHeight="true" outlineLevel="0" collapsed="false">
      <c r="A556" s="10" t="s">
        <v>1151</v>
      </c>
      <c r="B556" s="10" t="s">
        <v>1152</v>
      </c>
      <c r="C556" s="10" t="s">
        <v>166</v>
      </c>
      <c r="D556" s="10" t="s">
        <v>35</v>
      </c>
      <c r="E556" s="10" t="s">
        <v>284</v>
      </c>
      <c r="F556" s="11" t="n">
        <v>25</v>
      </c>
      <c r="G556" s="11" t="n">
        <v>5</v>
      </c>
      <c r="H556" s="26" t="n">
        <v>2854.79</v>
      </c>
      <c r="I556" s="26" t="n">
        <f aca="false">H556/G556</f>
        <v>570.958</v>
      </c>
      <c r="J556" s="10" t="s">
        <v>171</v>
      </c>
      <c r="K556" s="10" t="s">
        <v>172</v>
      </c>
    </row>
    <row r="557" customFormat="false" ht="18.75" hidden="false" customHeight="true" outlineLevel="0" collapsed="false">
      <c r="A557" s="15" t="s">
        <v>1153</v>
      </c>
      <c r="B557" s="15" t="s">
        <v>782</v>
      </c>
      <c r="C557" s="15" t="s">
        <v>219</v>
      </c>
      <c r="D557" s="15" t="s">
        <v>35</v>
      </c>
      <c r="E557" s="15" t="s">
        <v>284</v>
      </c>
      <c r="F557" s="16" t="n">
        <v>4</v>
      </c>
      <c r="G557" s="16" t="n">
        <v>8</v>
      </c>
      <c r="H557" s="29" t="n">
        <v>2847.66</v>
      </c>
      <c r="I557" s="29" t="n">
        <f aca="false">H557/G557</f>
        <v>355.9575</v>
      </c>
      <c r="J557" s="15" t="s">
        <v>171</v>
      </c>
      <c r="K557" s="15" t="s">
        <v>172</v>
      </c>
    </row>
    <row r="558" customFormat="false" ht="18.75" hidden="false" customHeight="true" outlineLevel="0" collapsed="false">
      <c r="A558" s="10" t="s">
        <v>1154</v>
      </c>
      <c r="B558" s="10" t="s">
        <v>901</v>
      </c>
      <c r="C558" s="10" t="s">
        <v>181</v>
      </c>
      <c r="D558" s="10" t="s">
        <v>36</v>
      </c>
      <c r="E558" s="10" t="s">
        <v>284</v>
      </c>
      <c r="F558" s="11" t="n">
        <v>57</v>
      </c>
      <c r="G558" s="11" t="n">
        <v>6</v>
      </c>
      <c r="H558" s="26" t="n">
        <v>2846.33</v>
      </c>
      <c r="I558" s="26" t="n">
        <f aca="false">H558/G558</f>
        <v>474.388333333333</v>
      </c>
      <c r="J558" s="10" t="s">
        <v>189</v>
      </c>
      <c r="K558" s="10" t="s">
        <v>190</v>
      </c>
    </row>
    <row r="559" customFormat="false" ht="18.75" hidden="false" customHeight="true" outlineLevel="0" collapsed="false">
      <c r="A559" s="15" t="s">
        <v>1155</v>
      </c>
      <c r="B559" s="15" t="s">
        <v>1156</v>
      </c>
      <c r="C559" s="15" t="s">
        <v>181</v>
      </c>
      <c r="D559" s="15" t="s">
        <v>36</v>
      </c>
      <c r="E559" s="15" t="s">
        <v>284</v>
      </c>
      <c r="F559" s="16" t="n">
        <v>13</v>
      </c>
      <c r="G559" s="16" t="n">
        <v>7</v>
      </c>
      <c r="H559" s="29" t="n">
        <v>2843.88</v>
      </c>
      <c r="I559" s="29" t="n">
        <f aca="false">H559/G559</f>
        <v>406.268571428571</v>
      </c>
      <c r="J559" s="15" t="s">
        <v>171</v>
      </c>
      <c r="K559" s="15" t="s">
        <v>172</v>
      </c>
    </row>
    <row r="560" customFormat="false" ht="18.75" hidden="false" customHeight="true" outlineLevel="0" collapsed="false">
      <c r="A560" s="10" t="s">
        <v>1157</v>
      </c>
      <c r="B560" s="10" t="s">
        <v>1158</v>
      </c>
      <c r="C560" s="10" t="s">
        <v>226</v>
      </c>
      <c r="D560" s="10" t="s">
        <v>36</v>
      </c>
      <c r="E560" s="10" t="s">
        <v>284</v>
      </c>
      <c r="F560" s="11" t="n">
        <v>57</v>
      </c>
      <c r="G560" s="11" t="n">
        <v>8</v>
      </c>
      <c r="H560" s="26" t="n">
        <v>2842.34</v>
      </c>
      <c r="I560" s="26" t="n">
        <f aca="false">H560/G560</f>
        <v>355.2925</v>
      </c>
      <c r="J560" s="10" t="s">
        <v>189</v>
      </c>
      <c r="K560" s="10" t="s">
        <v>190</v>
      </c>
    </row>
    <row r="561" customFormat="false" ht="18.75" hidden="false" customHeight="true" outlineLevel="0" collapsed="false">
      <c r="A561" s="15" t="s">
        <v>1159</v>
      </c>
      <c r="B561" s="15" t="s">
        <v>1160</v>
      </c>
      <c r="C561" s="15" t="s">
        <v>149</v>
      </c>
      <c r="D561" s="15" t="s">
        <v>35</v>
      </c>
      <c r="E561" s="15" t="s">
        <v>284</v>
      </c>
      <c r="F561" s="16" t="n">
        <v>2</v>
      </c>
      <c r="G561" s="16" t="n">
        <v>5</v>
      </c>
      <c r="H561" s="29" t="n">
        <v>2810.2</v>
      </c>
      <c r="I561" s="29" t="n">
        <f aca="false">H561/G561</f>
        <v>562.04</v>
      </c>
      <c r="J561" s="15" t="s">
        <v>171</v>
      </c>
      <c r="K561" s="15" t="s">
        <v>172</v>
      </c>
    </row>
    <row r="562" customFormat="false" ht="18.75" hidden="false" customHeight="true" outlineLevel="0" collapsed="false">
      <c r="A562" s="10" t="s">
        <v>1161</v>
      </c>
      <c r="B562" s="10" t="s">
        <v>1162</v>
      </c>
      <c r="C562" s="10" t="s">
        <v>226</v>
      </c>
      <c r="D562" s="10" t="s">
        <v>36</v>
      </c>
      <c r="E562" s="10" t="s">
        <v>284</v>
      </c>
      <c r="F562" s="11" t="n">
        <v>36</v>
      </c>
      <c r="G562" s="11" t="n">
        <v>6</v>
      </c>
      <c r="H562" s="26" t="n">
        <v>2810.13</v>
      </c>
      <c r="I562" s="26" t="n">
        <f aca="false">H562/G562</f>
        <v>468.355</v>
      </c>
      <c r="J562" s="10" t="s">
        <v>171</v>
      </c>
      <c r="K562" s="10" t="s">
        <v>172</v>
      </c>
    </row>
    <row r="563" customFormat="false" ht="18.75" hidden="false" customHeight="true" outlineLevel="0" collapsed="false">
      <c r="A563" s="15" t="s">
        <v>1163</v>
      </c>
      <c r="B563" s="15" t="s">
        <v>1164</v>
      </c>
      <c r="C563" s="15" t="s">
        <v>166</v>
      </c>
      <c r="D563" s="15" t="s">
        <v>35</v>
      </c>
      <c r="E563" s="15" t="s">
        <v>284</v>
      </c>
      <c r="F563" s="16" t="n">
        <v>89</v>
      </c>
      <c r="G563" s="16" t="n">
        <v>8</v>
      </c>
      <c r="H563" s="29" t="n">
        <v>2809.34</v>
      </c>
      <c r="I563" s="29" t="n">
        <f aca="false">H563/G563</f>
        <v>351.1675</v>
      </c>
      <c r="J563" s="15" t="s">
        <v>189</v>
      </c>
      <c r="K563" s="15" t="s">
        <v>190</v>
      </c>
    </row>
    <row r="564" customFormat="false" ht="18.75" hidden="false" customHeight="true" outlineLevel="0" collapsed="false">
      <c r="A564" s="10" t="s">
        <v>1165</v>
      </c>
      <c r="B564" s="10" t="s">
        <v>375</v>
      </c>
      <c r="C564" s="10" t="s">
        <v>146</v>
      </c>
      <c r="D564" s="10" t="s">
        <v>34</v>
      </c>
      <c r="E564" s="10" t="s">
        <v>141</v>
      </c>
      <c r="F564" s="11" t="n">
        <v>180</v>
      </c>
      <c r="G564" s="11" t="n">
        <v>3</v>
      </c>
      <c r="H564" s="26" t="n">
        <v>2800.48</v>
      </c>
      <c r="I564" s="26" t="n">
        <f aca="false">H564/G564</f>
        <v>933.493333333333</v>
      </c>
      <c r="J564" s="10" t="s">
        <v>253</v>
      </c>
      <c r="K564" s="10" t="s">
        <v>254</v>
      </c>
    </row>
    <row r="565" customFormat="false" ht="18.75" hidden="false" customHeight="true" outlineLevel="0" collapsed="false">
      <c r="A565" s="15" t="s">
        <v>1166</v>
      </c>
      <c r="B565" s="15" t="s">
        <v>1167</v>
      </c>
      <c r="C565" s="15" t="s">
        <v>226</v>
      </c>
      <c r="D565" s="15" t="s">
        <v>36</v>
      </c>
      <c r="E565" s="15" t="s">
        <v>284</v>
      </c>
      <c r="F565" s="16" t="n">
        <v>14</v>
      </c>
      <c r="G565" s="16" t="n">
        <v>8</v>
      </c>
      <c r="H565" s="29" t="n">
        <v>2797.83</v>
      </c>
      <c r="I565" s="29" t="n">
        <f aca="false">H565/G565</f>
        <v>349.72875</v>
      </c>
      <c r="J565" s="15" t="s">
        <v>171</v>
      </c>
      <c r="K565" s="15" t="s">
        <v>172</v>
      </c>
    </row>
    <row r="566" customFormat="false" ht="18.75" hidden="false" customHeight="true" outlineLevel="0" collapsed="false">
      <c r="A566" s="10" t="s">
        <v>1168</v>
      </c>
      <c r="B566" s="10" t="s">
        <v>1169</v>
      </c>
      <c r="C566" s="10" t="s">
        <v>216</v>
      </c>
      <c r="D566" s="10" t="s">
        <v>34</v>
      </c>
      <c r="E566" s="10" t="s">
        <v>284</v>
      </c>
      <c r="F566" s="11" t="n">
        <v>18</v>
      </c>
      <c r="G566" s="11" t="n">
        <v>10</v>
      </c>
      <c r="H566" s="26" t="n">
        <v>2778.18</v>
      </c>
      <c r="I566" s="26" t="n">
        <f aca="false">H566/G566</f>
        <v>277.818</v>
      </c>
      <c r="J566" s="10" t="s">
        <v>171</v>
      </c>
      <c r="K566" s="10" t="s">
        <v>172</v>
      </c>
    </row>
    <row r="567" customFormat="false" ht="18.75" hidden="false" customHeight="true" outlineLevel="0" collapsed="false">
      <c r="A567" s="15" t="s">
        <v>1170</v>
      </c>
      <c r="B567" s="15" t="s">
        <v>1171</v>
      </c>
      <c r="C567" s="15" t="s">
        <v>216</v>
      </c>
      <c r="D567" s="15" t="s">
        <v>34</v>
      </c>
      <c r="E567" s="15" t="s">
        <v>284</v>
      </c>
      <c r="F567" s="16" t="n">
        <v>14</v>
      </c>
      <c r="G567" s="16" t="n">
        <v>4</v>
      </c>
      <c r="H567" s="29" t="n">
        <v>2768.9</v>
      </c>
      <c r="I567" s="29" t="n">
        <f aca="false">H567/G567</f>
        <v>692.225</v>
      </c>
      <c r="J567" s="15" t="s">
        <v>280</v>
      </c>
      <c r="K567" s="15" t="s">
        <v>281</v>
      </c>
    </row>
    <row r="568" customFormat="false" ht="18.75" hidden="false" customHeight="true" outlineLevel="0" collapsed="false">
      <c r="A568" s="10" t="s">
        <v>1172</v>
      </c>
      <c r="B568" s="10" t="s">
        <v>1173</v>
      </c>
      <c r="C568" s="10" t="s">
        <v>216</v>
      </c>
      <c r="D568" s="10" t="s">
        <v>34</v>
      </c>
      <c r="E568" s="10" t="s">
        <v>284</v>
      </c>
      <c r="F568" s="11" t="n">
        <v>141</v>
      </c>
      <c r="G568" s="11" t="n">
        <v>10</v>
      </c>
      <c r="H568" s="26" t="n">
        <v>2767.92</v>
      </c>
      <c r="I568" s="26" t="n">
        <f aca="false">H568/G568</f>
        <v>276.792</v>
      </c>
      <c r="J568" s="10" t="s">
        <v>268</v>
      </c>
      <c r="K568" s="10" t="s">
        <v>269</v>
      </c>
    </row>
    <row r="569" customFormat="false" ht="18.75" hidden="false" customHeight="true" outlineLevel="0" collapsed="false">
      <c r="A569" s="15" t="s">
        <v>1174</v>
      </c>
      <c r="B569" s="15" t="s">
        <v>1175</v>
      </c>
      <c r="C569" s="15" t="s">
        <v>146</v>
      </c>
      <c r="D569" s="15" t="s">
        <v>34</v>
      </c>
      <c r="E569" s="15" t="s">
        <v>284</v>
      </c>
      <c r="F569" s="16" t="n">
        <v>57</v>
      </c>
      <c r="G569" s="16" t="n">
        <v>6</v>
      </c>
      <c r="H569" s="29" t="n">
        <v>2763.05</v>
      </c>
      <c r="I569" s="29" t="n">
        <f aca="false">H569/G569</f>
        <v>460.508333333333</v>
      </c>
      <c r="J569" s="15" t="s">
        <v>189</v>
      </c>
      <c r="K569" s="15" t="s">
        <v>190</v>
      </c>
    </row>
    <row r="570" customFormat="false" ht="18.75" hidden="false" customHeight="true" outlineLevel="0" collapsed="false">
      <c r="A570" s="10" t="s">
        <v>1176</v>
      </c>
      <c r="B570" s="10" t="s">
        <v>1177</v>
      </c>
      <c r="C570" s="10" t="s">
        <v>146</v>
      </c>
      <c r="D570" s="10" t="s">
        <v>34</v>
      </c>
      <c r="E570" s="10" t="s">
        <v>284</v>
      </c>
      <c r="F570" s="11" t="n">
        <v>66</v>
      </c>
      <c r="G570" s="11" t="n">
        <v>7</v>
      </c>
      <c r="H570" s="26" t="n">
        <v>2755.25</v>
      </c>
      <c r="I570" s="26" t="n">
        <f aca="false">H570/G570</f>
        <v>393.607142857143</v>
      </c>
      <c r="J570" s="10" t="s">
        <v>189</v>
      </c>
      <c r="K570" s="10" t="s">
        <v>190</v>
      </c>
    </row>
    <row r="571" customFormat="false" ht="18.75" hidden="false" customHeight="true" outlineLevel="0" collapsed="false">
      <c r="A571" s="15" t="s">
        <v>1178</v>
      </c>
      <c r="B571" s="15" t="s">
        <v>569</v>
      </c>
      <c r="C571" s="15" t="s">
        <v>152</v>
      </c>
      <c r="D571" s="15" t="s">
        <v>35</v>
      </c>
      <c r="E571" s="15" t="s">
        <v>284</v>
      </c>
      <c r="F571" s="16" t="n">
        <v>143</v>
      </c>
      <c r="G571" s="16" t="n">
        <v>2</v>
      </c>
      <c r="H571" s="29" t="n">
        <v>2745.5</v>
      </c>
      <c r="I571" s="29" t="n">
        <f aca="false">H571/G571</f>
        <v>1372.75</v>
      </c>
      <c r="J571" s="15" t="s">
        <v>253</v>
      </c>
      <c r="K571" s="15" t="s">
        <v>254</v>
      </c>
    </row>
    <row r="572" customFormat="false" ht="18.75" hidden="false" customHeight="true" outlineLevel="0" collapsed="false">
      <c r="A572" s="10" t="s">
        <v>1179</v>
      </c>
      <c r="B572" s="10" t="s">
        <v>1180</v>
      </c>
      <c r="C572" s="10" t="s">
        <v>140</v>
      </c>
      <c r="D572" s="10" t="s">
        <v>35</v>
      </c>
      <c r="E572" s="10" t="s">
        <v>284</v>
      </c>
      <c r="F572" s="11" t="n">
        <v>25</v>
      </c>
      <c r="G572" s="11" t="n">
        <v>8</v>
      </c>
      <c r="H572" s="26" t="n">
        <v>2738.99</v>
      </c>
      <c r="I572" s="26" t="n">
        <f aca="false">H572/G572</f>
        <v>342.37375</v>
      </c>
      <c r="J572" s="10" t="s">
        <v>171</v>
      </c>
      <c r="K572" s="10" t="s">
        <v>172</v>
      </c>
    </row>
    <row r="573" customFormat="false" ht="18.75" hidden="false" customHeight="true" outlineLevel="0" collapsed="false">
      <c r="A573" s="15" t="s">
        <v>1181</v>
      </c>
      <c r="B573" s="15" t="s">
        <v>1182</v>
      </c>
      <c r="C573" s="15" t="s">
        <v>207</v>
      </c>
      <c r="D573" s="15" t="s">
        <v>35</v>
      </c>
      <c r="E573" s="15" t="s">
        <v>284</v>
      </c>
      <c r="F573" s="16" t="n">
        <v>12</v>
      </c>
      <c r="G573" s="16" t="n">
        <v>6</v>
      </c>
      <c r="H573" s="29" t="n">
        <v>2731.69</v>
      </c>
      <c r="I573" s="29" t="n">
        <f aca="false">H573/G573</f>
        <v>455.281666666667</v>
      </c>
      <c r="J573" s="15" t="s">
        <v>171</v>
      </c>
      <c r="K573" s="15" t="s">
        <v>172</v>
      </c>
    </row>
    <row r="574" customFormat="false" ht="18.75" hidden="false" customHeight="true" outlineLevel="0" collapsed="false">
      <c r="A574" s="10" t="s">
        <v>1183</v>
      </c>
      <c r="B574" s="10" t="s">
        <v>1184</v>
      </c>
      <c r="C574" s="10" t="s">
        <v>166</v>
      </c>
      <c r="D574" s="10" t="s">
        <v>35</v>
      </c>
      <c r="E574" s="10" t="s">
        <v>141</v>
      </c>
      <c r="F574" s="11" t="n">
        <v>4</v>
      </c>
      <c r="G574" s="11" t="n">
        <v>1</v>
      </c>
      <c r="H574" s="26" t="n">
        <v>2723.2</v>
      </c>
      <c r="I574" s="26" t="n">
        <f aca="false">H574/G574</f>
        <v>2723.2</v>
      </c>
      <c r="J574" s="10" t="s">
        <v>280</v>
      </c>
      <c r="K574" s="10" t="s">
        <v>281</v>
      </c>
    </row>
    <row r="575" customFormat="false" ht="18.75" hidden="false" customHeight="true" outlineLevel="0" collapsed="false">
      <c r="A575" s="15" t="s">
        <v>1185</v>
      </c>
      <c r="B575" s="15" t="s">
        <v>1186</v>
      </c>
      <c r="C575" s="15" t="s">
        <v>160</v>
      </c>
      <c r="D575" s="15" t="s">
        <v>36</v>
      </c>
      <c r="E575" s="15" t="s">
        <v>284</v>
      </c>
      <c r="F575" s="16" t="n">
        <v>2</v>
      </c>
      <c r="G575" s="16" t="n">
        <v>5</v>
      </c>
      <c r="H575" s="29" t="n">
        <v>2722.53</v>
      </c>
      <c r="I575" s="29" t="n">
        <f aca="false">H575/G575</f>
        <v>544.506</v>
      </c>
      <c r="J575" s="15" t="s">
        <v>171</v>
      </c>
      <c r="K575" s="15" t="s">
        <v>172</v>
      </c>
    </row>
    <row r="576" customFormat="false" ht="18.75" hidden="false" customHeight="true" outlineLevel="0" collapsed="false">
      <c r="A576" s="10" t="s">
        <v>1187</v>
      </c>
      <c r="B576" s="10" t="s">
        <v>1188</v>
      </c>
      <c r="C576" s="10" t="s">
        <v>149</v>
      </c>
      <c r="D576" s="10" t="s">
        <v>35</v>
      </c>
      <c r="E576" s="10" t="s">
        <v>284</v>
      </c>
      <c r="F576" s="11" t="n">
        <v>47</v>
      </c>
      <c r="G576" s="11" t="n">
        <v>5</v>
      </c>
      <c r="H576" s="26" t="n">
        <v>2718.62</v>
      </c>
      <c r="I576" s="26" t="n">
        <f aca="false">H576/G576</f>
        <v>543.724</v>
      </c>
      <c r="J576" s="10" t="s">
        <v>171</v>
      </c>
      <c r="K576" s="10" t="s">
        <v>172</v>
      </c>
    </row>
    <row r="577" customFormat="false" ht="18.75" hidden="false" customHeight="true" outlineLevel="0" collapsed="false">
      <c r="A577" s="15" t="s">
        <v>1189</v>
      </c>
      <c r="B577" s="15" t="s">
        <v>1190</v>
      </c>
      <c r="C577" s="15" t="s">
        <v>166</v>
      </c>
      <c r="D577" s="15" t="s">
        <v>35</v>
      </c>
      <c r="E577" s="15" t="s">
        <v>284</v>
      </c>
      <c r="F577" s="16" t="n">
        <v>59</v>
      </c>
      <c r="G577" s="16" t="n">
        <v>5</v>
      </c>
      <c r="H577" s="29" t="n">
        <v>2703.93</v>
      </c>
      <c r="I577" s="29" t="n">
        <f aca="false">H577/G577</f>
        <v>540.786</v>
      </c>
      <c r="J577" s="15" t="s">
        <v>189</v>
      </c>
      <c r="K577" s="15" t="s">
        <v>190</v>
      </c>
    </row>
    <row r="578" customFormat="false" ht="18.75" hidden="false" customHeight="true" outlineLevel="0" collapsed="false">
      <c r="A578" s="10" t="s">
        <v>1191</v>
      </c>
      <c r="B578" s="10" t="s">
        <v>1192</v>
      </c>
      <c r="C578" s="10" t="s">
        <v>140</v>
      </c>
      <c r="D578" s="10" t="s">
        <v>35</v>
      </c>
      <c r="E578" s="10" t="s">
        <v>284</v>
      </c>
      <c r="F578" s="11" t="n">
        <v>83</v>
      </c>
      <c r="G578" s="11" t="n">
        <v>7</v>
      </c>
      <c r="H578" s="26" t="n">
        <v>2697.37</v>
      </c>
      <c r="I578" s="26" t="n">
        <f aca="false">H578/G578</f>
        <v>385.338571428571</v>
      </c>
      <c r="J578" s="10" t="s">
        <v>189</v>
      </c>
      <c r="K578" s="10" t="s">
        <v>190</v>
      </c>
    </row>
    <row r="579" customFormat="false" ht="18.75" hidden="false" customHeight="true" outlineLevel="0" collapsed="false">
      <c r="A579" s="15" t="s">
        <v>1193</v>
      </c>
      <c r="B579" s="15" t="s">
        <v>748</v>
      </c>
      <c r="C579" s="15" t="s">
        <v>140</v>
      </c>
      <c r="D579" s="15" t="s">
        <v>35</v>
      </c>
      <c r="E579" s="15" t="s">
        <v>284</v>
      </c>
      <c r="F579" s="16" t="n">
        <v>59</v>
      </c>
      <c r="G579" s="16" t="n">
        <v>7</v>
      </c>
      <c r="H579" s="29" t="n">
        <v>2695.6</v>
      </c>
      <c r="I579" s="29" t="n">
        <f aca="false">H579/G579</f>
        <v>385.085714285714</v>
      </c>
      <c r="J579" s="15" t="s">
        <v>189</v>
      </c>
      <c r="K579" s="15" t="s">
        <v>190</v>
      </c>
    </row>
    <row r="580" customFormat="false" ht="18.75" hidden="false" customHeight="true" outlineLevel="0" collapsed="false">
      <c r="A580" s="10" t="s">
        <v>1194</v>
      </c>
      <c r="B580" s="10" t="s">
        <v>1195</v>
      </c>
      <c r="C580" s="10" t="s">
        <v>166</v>
      </c>
      <c r="D580" s="10" t="s">
        <v>35</v>
      </c>
      <c r="E580" s="10" t="s">
        <v>284</v>
      </c>
      <c r="F580" s="11" t="n">
        <v>7</v>
      </c>
      <c r="G580" s="11" t="n">
        <v>7</v>
      </c>
      <c r="H580" s="26" t="n">
        <v>2689.15</v>
      </c>
      <c r="I580" s="26" t="n">
        <f aca="false">H580/G580</f>
        <v>384.164285714286</v>
      </c>
      <c r="J580" s="10" t="s">
        <v>171</v>
      </c>
      <c r="K580" s="10" t="s">
        <v>172</v>
      </c>
    </row>
    <row r="581" customFormat="false" ht="18.75" hidden="false" customHeight="true" outlineLevel="0" collapsed="false">
      <c r="A581" s="15" t="s">
        <v>1196</v>
      </c>
      <c r="B581" s="15" t="s">
        <v>927</v>
      </c>
      <c r="C581" s="15" t="s">
        <v>149</v>
      </c>
      <c r="D581" s="15" t="s">
        <v>35</v>
      </c>
      <c r="E581" s="15" t="s">
        <v>284</v>
      </c>
      <c r="F581" s="16" t="n">
        <v>17</v>
      </c>
      <c r="G581" s="16" t="n">
        <v>7</v>
      </c>
      <c r="H581" s="29" t="n">
        <v>2668.54</v>
      </c>
      <c r="I581" s="29" t="n">
        <f aca="false">H581/G581</f>
        <v>381.22</v>
      </c>
      <c r="J581" s="15" t="s">
        <v>171</v>
      </c>
      <c r="K581" s="15" t="s">
        <v>172</v>
      </c>
    </row>
    <row r="582" customFormat="false" ht="18.75" hidden="false" customHeight="true" outlineLevel="0" collapsed="false">
      <c r="A582" s="10" t="s">
        <v>1197</v>
      </c>
      <c r="B582" s="10" t="s">
        <v>379</v>
      </c>
      <c r="C582" s="10" t="s">
        <v>166</v>
      </c>
      <c r="D582" s="10" t="s">
        <v>35</v>
      </c>
      <c r="E582" s="10" t="s">
        <v>284</v>
      </c>
      <c r="F582" s="11" t="n">
        <v>95</v>
      </c>
      <c r="G582" s="11" t="n">
        <v>6</v>
      </c>
      <c r="H582" s="26" t="n">
        <v>2666</v>
      </c>
      <c r="I582" s="26" t="n">
        <f aca="false">H582/G582</f>
        <v>444.333333333333</v>
      </c>
      <c r="J582" s="10" t="s">
        <v>189</v>
      </c>
      <c r="K582" s="10" t="s">
        <v>190</v>
      </c>
    </row>
    <row r="583" customFormat="false" ht="18.75" hidden="false" customHeight="true" outlineLevel="0" collapsed="false">
      <c r="A583" s="15" t="s">
        <v>1198</v>
      </c>
      <c r="B583" s="15" t="s">
        <v>373</v>
      </c>
      <c r="C583" s="15" t="s">
        <v>140</v>
      </c>
      <c r="D583" s="15" t="s">
        <v>35</v>
      </c>
      <c r="E583" s="15" t="s">
        <v>284</v>
      </c>
      <c r="F583" s="16" t="n">
        <v>24</v>
      </c>
      <c r="G583" s="16" t="n">
        <v>5</v>
      </c>
      <c r="H583" s="29" t="n">
        <v>2654.83</v>
      </c>
      <c r="I583" s="29" t="n">
        <f aca="false">H583/G583</f>
        <v>530.966</v>
      </c>
      <c r="J583" s="15" t="s">
        <v>171</v>
      </c>
      <c r="K583" s="15" t="s">
        <v>172</v>
      </c>
    </row>
    <row r="584" customFormat="false" ht="18.75" hidden="false" customHeight="true" outlineLevel="0" collapsed="false">
      <c r="A584" s="10" t="s">
        <v>1199</v>
      </c>
      <c r="B584" s="10" t="s">
        <v>652</v>
      </c>
      <c r="C584" s="10" t="s">
        <v>181</v>
      </c>
      <c r="D584" s="10" t="s">
        <v>36</v>
      </c>
      <c r="E584" s="10" t="s">
        <v>284</v>
      </c>
      <c r="F584" s="11" t="n">
        <v>32</v>
      </c>
      <c r="G584" s="11" t="n">
        <v>8</v>
      </c>
      <c r="H584" s="26" t="n">
        <v>2652.22</v>
      </c>
      <c r="I584" s="26" t="n">
        <f aca="false">H584/G584</f>
        <v>331.5275</v>
      </c>
      <c r="J584" s="10" t="s">
        <v>171</v>
      </c>
      <c r="K584" s="10" t="s">
        <v>172</v>
      </c>
    </row>
    <row r="585" customFormat="false" ht="18.75" hidden="false" customHeight="true" outlineLevel="0" collapsed="false">
      <c r="A585" s="15" t="s">
        <v>1200</v>
      </c>
      <c r="B585" s="15" t="s">
        <v>1201</v>
      </c>
      <c r="C585" s="15" t="s">
        <v>199</v>
      </c>
      <c r="D585" s="15" t="s">
        <v>36</v>
      </c>
      <c r="E585" s="15" t="s">
        <v>284</v>
      </c>
      <c r="F585" s="16" t="n">
        <v>171</v>
      </c>
      <c r="G585" s="16" t="n">
        <v>6</v>
      </c>
      <c r="H585" s="29" t="n">
        <v>2650.47</v>
      </c>
      <c r="I585" s="29" t="n">
        <f aca="false">H585/G585</f>
        <v>441.745</v>
      </c>
      <c r="J585" s="15" t="s">
        <v>268</v>
      </c>
      <c r="K585" s="15" t="s">
        <v>269</v>
      </c>
    </row>
    <row r="586" customFormat="false" ht="18.75" hidden="false" customHeight="true" outlineLevel="0" collapsed="false">
      <c r="A586" s="10" t="s">
        <v>1202</v>
      </c>
      <c r="B586" s="10" t="s">
        <v>979</v>
      </c>
      <c r="C586" s="10" t="s">
        <v>199</v>
      </c>
      <c r="D586" s="10" t="s">
        <v>36</v>
      </c>
      <c r="E586" s="10" t="s">
        <v>384</v>
      </c>
      <c r="F586" s="11" t="n">
        <v>21</v>
      </c>
      <c r="G586" s="11" t="n">
        <v>5</v>
      </c>
      <c r="H586" s="26" t="n">
        <v>2647.75</v>
      </c>
      <c r="I586" s="26" t="n">
        <f aca="false">H586/G586</f>
        <v>529.55</v>
      </c>
      <c r="J586" s="10" t="s">
        <v>171</v>
      </c>
      <c r="K586" s="10" t="s">
        <v>172</v>
      </c>
    </row>
    <row r="587" customFormat="false" ht="18.75" hidden="false" customHeight="true" outlineLevel="0" collapsed="false">
      <c r="A587" s="15" t="s">
        <v>1203</v>
      </c>
      <c r="B587" s="15" t="s">
        <v>1204</v>
      </c>
      <c r="C587" s="15" t="s">
        <v>181</v>
      </c>
      <c r="D587" s="15" t="s">
        <v>36</v>
      </c>
      <c r="E587" s="15" t="s">
        <v>284</v>
      </c>
      <c r="F587" s="16" t="n">
        <v>57</v>
      </c>
      <c r="G587" s="16" t="n">
        <v>8</v>
      </c>
      <c r="H587" s="29" t="n">
        <v>2647.05</v>
      </c>
      <c r="I587" s="29" t="n">
        <f aca="false">H587/G587</f>
        <v>330.88125</v>
      </c>
      <c r="J587" s="15" t="s">
        <v>189</v>
      </c>
      <c r="K587" s="15" t="s">
        <v>190</v>
      </c>
    </row>
    <row r="588" customFormat="false" ht="18.75" hidden="false" customHeight="true" outlineLevel="0" collapsed="false">
      <c r="A588" s="10" t="s">
        <v>1205</v>
      </c>
      <c r="B588" s="10" t="s">
        <v>1206</v>
      </c>
      <c r="C588" s="10" t="s">
        <v>155</v>
      </c>
      <c r="D588" s="10" t="s">
        <v>34</v>
      </c>
      <c r="E588" s="10" t="s">
        <v>284</v>
      </c>
      <c r="F588" s="11" t="n">
        <v>16</v>
      </c>
      <c r="G588" s="11" t="n">
        <v>3</v>
      </c>
      <c r="H588" s="26" t="n">
        <v>2639.13</v>
      </c>
      <c r="I588" s="26" t="n">
        <f aca="false">H588/G588</f>
        <v>879.71</v>
      </c>
      <c r="J588" s="10" t="s">
        <v>280</v>
      </c>
      <c r="K588" s="10" t="s">
        <v>281</v>
      </c>
    </row>
    <row r="589" customFormat="false" ht="18.75" hidden="false" customHeight="true" outlineLevel="0" collapsed="false">
      <c r="A589" s="15" t="s">
        <v>1207</v>
      </c>
      <c r="B589" s="15" t="s">
        <v>1208</v>
      </c>
      <c r="C589" s="15" t="s">
        <v>166</v>
      </c>
      <c r="D589" s="15" t="s">
        <v>35</v>
      </c>
      <c r="E589" s="15" t="s">
        <v>284</v>
      </c>
      <c r="F589" s="16" t="n">
        <v>164</v>
      </c>
      <c r="G589" s="16" t="n">
        <v>3</v>
      </c>
      <c r="H589" s="29" t="n">
        <v>2632.16</v>
      </c>
      <c r="I589" s="29" t="n">
        <f aca="false">H589/G589</f>
        <v>877.386666666667</v>
      </c>
      <c r="J589" s="15" t="s">
        <v>253</v>
      </c>
      <c r="K589" s="15" t="s">
        <v>254</v>
      </c>
    </row>
    <row r="590" customFormat="false" ht="18.75" hidden="false" customHeight="true" outlineLevel="0" collapsed="false">
      <c r="A590" s="10" t="s">
        <v>1209</v>
      </c>
      <c r="B590" s="10" t="s">
        <v>1210</v>
      </c>
      <c r="C590" s="10" t="s">
        <v>160</v>
      </c>
      <c r="D590" s="10" t="s">
        <v>36</v>
      </c>
      <c r="E590" s="10" t="s">
        <v>284</v>
      </c>
      <c r="F590" s="11" t="n">
        <v>11</v>
      </c>
      <c r="G590" s="11" t="n">
        <v>8</v>
      </c>
      <c r="H590" s="26" t="n">
        <v>2630.98</v>
      </c>
      <c r="I590" s="26" t="n">
        <f aca="false">H590/G590</f>
        <v>328.8725</v>
      </c>
      <c r="J590" s="10" t="s">
        <v>171</v>
      </c>
      <c r="K590" s="10" t="s">
        <v>172</v>
      </c>
    </row>
    <row r="591" customFormat="false" ht="18.75" hidden="false" customHeight="true" outlineLevel="0" collapsed="false">
      <c r="A591" s="15" t="s">
        <v>1211</v>
      </c>
      <c r="B591" s="15" t="s">
        <v>1212</v>
      </c>
      <c r="C591" s="15" t="s">
        <v>184</v>
      </c>
      <c r="D591" s="15" t="s">
        <v>34</v>
      </c>
      <c r="E591" s="15" t="s">
        <v>284</v>
      </c>
      <c r="F591" s="16" t="n">
        <v>32</v>
      </c>
      <c r="G591" s="16" t="n">
        <v>7</v>
      </c>
      <c r="H591" s="29" t="n">
        <v>2611.5</v>
      </c>
      <c r="I591" s="29" t="n">
        <f aca="false">H591/G591</f>
        <v>373.071428571429</v>
      </c>
      <c r="J591" s="15" t="s">
        <v>171</v>
      </c>
      <c r="K591" s="15" t="s">
        <v>172</v>
      </c>
    </row>
    <row r="592" customFormat="false" ht="18.75" hidden="false" customHeight="true" outlineLevel="0" collapsed="false">
      <c r="A592" s="10" t="s">
        <v>1213</v>
      </c>
      <c r="B592" s="10" t="s">
        <v>312</v>
      </c>
      <c r="C592" s="10" t="s">
        <v>140</v>
      </c>
      <c r="D592" s="10" t="s">
        <v>35</v>
      </c>
      <c r="E592" s="10" t="s">
        <v>284</v>
      </c>
      <c r="F592" s="11" t="n">
        <v>0</v>
      </c>
      <c r="G592" s="11" t="n">
        <v>6</v>
      </c>
      <c r="H592" s="26" t="n">
        <v>2603.2</v>
      </c>
      <c r="I592" s="26" t="n">
        <f aca="false">H592/G592</f>
        <v>433.866666666667</v>
      </c>
      <c r="J592" s="10" t="s">
        <v>171</v>
      </c>
      <c r="K592" s="10" t="s">
        <v>172</v>
      </c>
    </row>
    <row r="593" customFormat="false" ht="18.75" hidden="false" customHeight="true" outlineLevel="0" collapsed="false">
      <c r="A593" s="15" t="s">
        <v>1214</v>
      </c>
      <c r="B593" s="15" t="s">
        <v>717</v>
      </c>
      <c r="C593" s="15" t="s">
        <v>184</v>
      </c>
      <c r="D593" s="15" t="s">
        <v>34</v>
      </c>
      <c r="E593" s="15" t="s">
        <v>284</v>
      </c>
      <c r="F593" s="16" t="n">
        <v>9</v>
      </c>
      <c r="G593" s="16" t="n">
        <v>7</v>
      </c>
      <c r="H593" s="29" t="n">
        <v>2601.53</v>
      </c>
      <c r="I593" s="29" t="n">
        <f aca="false">H593/G593</f>
        <v>371.647142857143</v>
      </c>
      <c r="J593" s="15" t="s">
        <v>171</v>
      </c>
      <c r="K593" s="15" t="s">
        <v>172</v>
      </c>
    </row>
    <row r="594" customFormat="false" ht="18.75" hidden="false" customHeight="true" outlineLevel="0" collapsed="false">
      <c r="A594" s="10" t="s">
        <v>1215</v>
      </c>
      <c r="B594" s="10" t="s">
        <v>1216</v>
      </c>
      <c r="C594" s="10" t="s">
        <v>216</v>
      </c>
      <c r="D594" s="10" t="s">
        <v>34</v>
      </c>
      <c r="E594" s="10" t="s">
        <v>284</v>
      </c>
      <c r="F594" s="11" t="n">
        <v>25</v>
      </c>
      <c r="G594" s="11" t="n">
        <v>6</v>
      </c>
      <c r="H594" s="26" t="n">
        <v>2601.45</v>
      </c>
      <c r="I594" s="26" t="n">
        <f aca="false">H594/G594</f>
        <v>433.575</v>
      </c>
      <c r="J594" s="10" t="s">
        <v>171</v>
      </c>
      <c r="K594" s="10" t="s">
        <v>172</v>
      </c>
    </row>
    <row r="595" customFormat="false" ht="18.75" hidden="false" customHeight="true" outlineLevel="0" collapsed="false">
      <c r="A595" s="15" t="s">
        <v>1217</v>
      </c>
      <c r="B595" s="15" t="s">
        <v>366</v>
      </c>
      <c r="C595" s="15" t="s">
        <v>199</v>
      </c>
      <c r="D595" s="15" t="s">
        <v>36</v>
      </c>
      <c r="E595" s="15" t="s">
        <v>284</v>
      </c>
      <c r="F595" s="16" t="n">
        <v>6</v>
      </c>
      <c r="G595" s="16" t="n">
        <v>6</v>
      </c>
      <c r="H595" s="29" t="n">
        <v>2569.64</v>
      </c>
      <c r="I595" s="29" t="n">
        <f aca="false">H595/G595</f>
        <v>428.273333333333</v>
      </c>
      <c r="J595" s="15" t="s">
        <v>171</v>
      </c>
      <c r="K595" s="15" t="s">
        <v>172</v>
      </c>
    </row>
    <row r="596" customFormat="false" ht="18.75" hidden="false" customHeight="true" outlineLevel="0" collapsed="false">
      <c r="A596" s="10" t="s">
        <v>1218</v>
      </c>
      <c r="B596" s="10" t="s">
        <v>1219</v>
      </c>
      <c r="C596" s="10" t="s">
        <v>219</v>
      </c>
      <c r="D596" s="10" t="s">
        <v>35</v>
      </c>
      <c r="E596" s="10" t="s">
        <v>284</v>
      </c>
      <c r="F596" s="11" t="n">
        <v>24</v>
      </c>
      <c r="G596" s="11" t="n">
        <v>7</v>
      </c>
      <c r="H596" s="26" t="n">
        <v>2554.42</v>
      </c>
      <c r="I596" s="26" t="n">
        <f aca="false">H596/G596</f>
        <v>364.917142857143</v>
      </c>
      <c r="J596" s="10" t="s">
        <v>171</v>
      </c>
      <c r="K596" s="10" t="s">
        <v>172</v>
      </c>
    </row>
    <row r="597" customFormat="false" ht="18.75" hidden="false" customHeight="true" outlineLevel="0" collapsed="false">
      <c r="A597" s="15" t="s">
        <v>1220</v>
      </c>
      <c r="B597" s="15" t="s">
        <v>1221</v>
      </c>
      <c r="C597" s="15" t="s">
        <v>152</v>
      </c>
      <c r="D597" s="15" t="s">
        <v>35</v>
      </c>
      <c r="E597" s="15" t="s">
        <v>284</v>
      </c>
      <c r="F597" s="16" t="n">
        <v>61</v>
      </c>
      <c r="G597" s="16" t="n">
        <v>7</v>
      </c>
      <c r="H597" s="29" t="n">
        <v>2552.1</v>
      </c>
      <c r="I597" s="29" t="n">
        <f aca="false">H597/G597</f>
        <v>364.585714285714</v>
      </c>
      <c r="J597" s="15" t="s">
        <v>189</v>
      </c>
      <c r="K597" s="15" t="s">
        <v>190</v>
      </c>
    </row>
    <row r="598" customFormat="false" ht="18.75" hidden="false" customHeight="true" outlineLevel="0" collapsed="false">
      <c r="A598" s="10" t="s">
        <v>1222</v>
      </c>
      <c r="B598" s="10" t="s">
        <v>1223</v>
      </c>
      <c r="C598" s="10" t="s">
        <v>166</v>
      </c>
      <c r="D598" s="10" t="s">
        <v>35</v>
      </c>
      <c r="E598" s="10" t="s">
        <v>284</v>
      </c>
      <c r="F598" s="11" t="n">
        <v>46</v>
      </c>
      <c r="G598" s="11" t="n">
        <v>3</v>
      </c>
      <c r="H598" s="26" t="n">
        <v>2542.25</v>
      </c>
      <c r="I598" s="26" t="n">
        <f aca="false">H598/G598</f>
        <v>847.416666666667</v>
      </c>
      <c r="J598" s="10" t="s">
        <v>280</v>
      </c>
      <c r="K598" s="10" t="s">
        <v>281</v>
      </c>
    </row>
    <row r="599" customFormat="false" ht="18.75" hidden="false" customHeight="true" outlineLevel="0" collapsed="false">
      <c r="A599" s="15" t="s">
        <v>1224</v>
      </c>
      <c r="B599" s="15" t="s">
        <v>920</v>
      </c>
      <c r="C599" s="15" t="s">
        <v>163</v>
      </c>
      <c r="D599" s="15" t="s">
        <v>36</v>
      </c>
      <c r="E599" s="15" t="s">
        <v>284</v>
      </c>
      <c r="F599" s="16" t="n">
        <v>13</v>
      </c>
      <c r="G599" s="16" t="n">
        <v>6</v>
      </c>
      <c r="H599" s="29" t="n">
        <v>2521.28</v>
      </c>
      <c r="I599" s="29" t="n">
        <f aca="false">H599/G599</f>
        <v>420.213333333333</v>
      </c>
      <c r="J599" s="15" t="s">
        <v>171</v>
      </c>
      <c r="K599" s="15" t="s">
        <v>172</v>
      </c>
    </row>
    <row r="600" customFormat="false" ht="18.75" hidden="false" customHeight="true" outlineLevel="0" collapsed="false">
      <c r="A600" s="10" t="s">
        <v>1225</v>
      </c>
      <c r="B600" s="10" t="s">
        <v>848</v>
      </c>
      <c r="C600" s="10" t="s">
        <v>181</v>
      </c>
      <c r="D600" s="10" t="s">
        <v>36</v>
      </c>
      <c r="E600" s="10" t="s">
        <v>284</v>
      </c>
      <c r="F600" s="11" t="n">
        <v>82</v>
      </c>
      <c r="G600" s="11" t="n">
        <v>6</v>
      </c>
      <c r="H600" s="26" t="n">
        <v>2508.24</v>
      </c>
      <c r="I600" s="26" t="n">
        <f aca="false">H600/G600</f>
        <v>418.04</v>
      </c>
      <c r="J600" s="10" t="s">
        <v>189</v>
      </c>
      <c r="K600" s="10" t="s">
        <v>190</v>
      </c>
    </row>
    <row r="601" customFormat="false" ht="18.75" hidden="false" customHeight="true" outlineLevel="0" collapsed="false">
      <c r="A601" s="15" t="s">
        <v>1226</v>
      </c>
      <c r="B601" s="15" t="s">
        <v>1227</v>
      </c>
      <c r="C601" s="15" t="s">
        <v>140</v>
      </c>
      <c r="D601" s="15" t="s">
        <v>35</v>
      </c>
      <c r="E601" s="15" t="s">
        <v>284</v>
      </c>
      <c r="F601" s="16" t="n">
        <v>105</v>
      </c>
      <c r="G601" s="16" t="n">
        <v>4</v>
      </c>
      <c r="H601" s="29" t="n">
        <v>2500.35</v>
      </c>
      <c r="I601" s="29" t="n">
        <f aca="false">H601/G601</f>
        <v>625.0875</v>
      </c>
      <c r="J601" s="15" t="s">
        <v>253</v>
      </c>
      <c r="K601" s="15" t="s">
        <v>254</v>
      </c>
    </row>
    <row r="602" customFormat="false" ht="18.75" hidden="false" customHeight="true" outlineLevel="0" collapsed="false">
      <c r="A602" s="10" t="s">
        <v>1228</v>
      </c>
      <c r="B602" s="10" t="s">
        <v>1229</v>
      </c>
      <c r="C602" s="10" t="s">
        <v>163</v>
      </c>
      <c r="D602" s="10" t="s">
        <v>36</v>
      </c>
      <c r="E602" s="10" t="s">
        <v>284</v>
      </c>
      <c r="F602" s="11" t="n">
        <v>22</v>
      </c>
      <c r="G602" s="11" t="n">
        <v>6</v>
      </c>
      <c r="H602" s="26" t="n">
        <v>2499.8</v>
      </c>
      <c r="I602" s="26" t="n">
        <f aca="false">H602/G602</f>
        <v>416.633333333333</v>
      </c>
      <c r="J602" s="10" t="s">
        <v>171</v>
      </c>
      <c r="K602" s="10" t="s">
        <v>172</v>
      </c>
    </row>
    <row r="603" customFormat="false" ht="18.75" hidden="false" customHeight="true" outlineLevel="0" collapsed="false">
      <c r="A603" s="15" t="s">
        <v>1230</v>
      </c>
      <c r="B603" s="15" t="s">
        <v>1231</v>
      </c>
      <c r="C603" s="15" t="s">
        <v>226</v>
      </c>
      <c r="D603" s="15" t="s">
        <v>36</v>
      </c>
      <c r="E603" s="15" t="s">
        <v>284</v>
      </c>
      <c r="F603" s="16" t="n">
        <v>32</v>
      </c>
      <c r="G603" s="16" t="n">
        <v>5</v>
      </c>
      <c r="H603" s="29" t="n">
        <v>2499.35</v>
      </c>
      <c r="I603" s="29" t="n">
        <f aca="false">H603/G603</f>
        <v>499.87</v>
      </c>
      <c r="J603" s="15" t="s">
        <v>171</v>
      </c>
      <c r="K603" s="15" t="s">
        <v>172</v>
      </c>
    </row>
    <row r="604" customFormat="false" ht="18.75" hidden="false" customHeight="true" outlineLevel="0" collapsed="false">
      <c r="A604" s="10" t="s">
        <v>1232</v>
      </c>
      <c r="B604" s="10" t="s">
        <v>470</v>
      </c>
      <c r="C604" s="10" t="s">
        <v>146</v>
      </c>
      <c r="D604" s="10" t="s">
        <v>34</v>
      </c>
      <c r="E604" s="10" t="s">
        <v>284</v>
      </c>
      <c r="F604" s="11" t="n">
        <v>55</v>
      </c>
      <c r="G604" s="11" t="n">
        <v>4</v>
      </c>
      <c r="H604" s="26" t="n">
        <v>2493.18</v>
      </c>
      <c r="I604" s="26" t="n">
        <f aca="false">H604/G604</f>
        <v>623.295</v>
      </c>
      <c r="J604" s="10" t="s">
        <v>253</v>
      </c>
      <c r="K604" s="10" t="s">
        <v>254</v>
      </c>
    </row>
    <row r="605" customFormat="false" ht="18.75" hidden="false" customHeight="true" outlineLevel="0" collapsed="false">
      <c r="A605" s="15" t="s">
        <v>1233</v>
      </c>
      <c r="B605" s="15" t="s">
        <v>1234</v>
      </c>
      <c r="C605" s="15" t="s">
        <v>160</v>
      </c>
      <c r="D605" s="15" t="s">
        <v>36</v>
      </c>
      <c r="E605" s="15" t="s">
        <v>284</v>
      </c>
      <c r="F605" s="16" t="n">
        <v>97</v>
      </c>
      <c r="G605" s="16" t="n">
        <v>9</v>
      </c>
      <c r="H605" s="29" t="n">
        <v>2489.16</v>
      </c>
      <c r="I605" s="29" t="n">
        <f aca="false">H605/G605</f>
        <v>276.573333333333</v>
      </c>
      <c r="J605" s="15" t="s">
        <v>189</v>
      </c>
      <c r="K605" s="15" t="s">
        <v>190</v>
      </c>
    </row>
    <row r="606" customFormat="false" ht="18.75" hidden="false" customHeight="true" outlineLevel="0" collapsed="false">
      <c r="A606" s="10" t="s">
        <v>1235</v>
      </c>
      <c r="B606" s="10" t="s">
        <v>162</v>
      </c>
      <c r="C606" s="10" t="s">
        <v>155</v>
      </c>
      <c r="D606" s="10" t="s">
        <v>34</v>
      </c>
      <c r="E606" s="10" t="s">
        <v>284</v>
      </c>
      <c r="F606" s="11" t="n">
        <v>73</v>
      </c>
      <c r="G606" s="11" t="n">
        <v>3</v>
      </c>
      <c r="H606" s="26" t="n">
        <v>2488.6</v>
      </c>
      <c r="I606" s="26" t="n">
        <f aca="false">H606/G606</f>
        <v>829.533333333333</v>
      </c>
      <c r="J606" s="10" t="s">
        <v>253</v>
      </c>
      <c r="K606" s="10" t="s">
        <v>254</v>
      </c>
    </row>
    <row r="607" customFormat="false" ht="18.75" hidden="false" customHeight="true" outlineLevel="0" collapsed="false">
      <c r="A607" s="15" t="s">
        <v>1236</v>
      </c>
      <c r="B607" s="15" t="s">
        <v>1237</v>
      </c>
      <c r="C607" s="15" t="s">
        <v>152</v>
      </c>
      <c r="D607" s="15" t="s">
        <v>35</v>
      </c>
      <c r="E607" s="15" t="s">
        <v>284</v>
      </c>
      <c r="F607" s="16" t="n">
        <v>17</v>
      </c>
      <c r="G607" s="16" t="n">
        <v>3</v>
      </c>
      <c r="H607" s="29" t="n">
        <v>2483</v>
      </c>
      <c r="I607" s="29" t="n">
        <f aca="false">H607/G607</f>
        <v>827.666666666667</v>
      </c>
      <c r="J607" s="15" t="s">
        <v>280</v>
      </c>
      <c r="K607" s="15" t="s">
        <v>281</v>
      </c>
    </row>
    <row r="608" customFormat="false" ht="18.75" hidden="false" customHeight="true" outlineLevel="0" collapsed="false">
      <c r="A608" s="10" t="s">
        <v>1238</v>
      </c>
      <c r="B608" s="10" t="s">
        <v>1239</v>
      </c>
      <c r="C608" s="10" t="s">
        <v>160</v>
      </c>
      <c r="D608" s="10" t="s">
        <v>36</v>
      </c>
      <c r="E608" s="10" t="s">
        <v>284</v>
      </c>
      <c r="F608" s="11" t="n">
        <v>15</v>
      </c>
      <c r="G608" s="11" t="n">
        <v>5</v>
      </c>
      <c r="H608" s="26" t="n">
        <v>2482.03</v>
      </c>
      <c r="I608" s="26" t="n">
        <f aca="false">H608/G608</f>
        <v>496.406</v>
      </c>
      <c r="J608" s="10" t="s">
        <v>171</v>
      </c>
      <c r="K608" s="10" t="s">
        <v>172</v>
      </c>
    </row>
    <row r="609" customFormat="false" ht="18.75" hidden="false" customHeight="true" outlineLevel="0" collapsed="false">
      <c r="A609" s="15" t="s">
        <v>1240</v>
      </c>
      <c r="B609" s="15" t="s">
        <v>1241</v>
      </c>
      <c r="C609" s="15" t="s">
        <v>166</v>
      </c>
      <c r="D609" s="15" t="s">
        <v>35</v>
      </c>
      <c r="E609" s="15" t="s">
        <v>284</v>
      </c>
      <c r="F609" s="16" t="n">
        <v>27</v>
      </c>
      <c r="G609" s="16" t="n">
        <v>7</v>
      </c>
      <c r="H609" s="29" t="n">
        <v>2481.19</v>
      </c>
      <c r="I609" s="29" t="n">
        <f aca="false">H609/G609</f>
        <v>354.455714285714</v>
      </c>
      <c r="J609" s="15" t="s">
        <v>171</v>
      </c>
      <c r="K609" s="15" t="s">
        <v>172</v>
      </c>
    </row>
    <row r="610" customFormat="false" ht="18.75" hidden="false" customHeight="true" outlineLevel="0" collapsed="false">
      <c r="A610" s="10" t="s">
        <v>1242</v>
      </c>
      <c r="B610" s="10" t="s">
        <v>1243</v>
      </c>
      <c r="C610" s="10" t="s">
        <v>155</v>
      </c>
      <c r="D610" s="10" t="s">
        <v>34</v>
      </c>
      <c r="E610" s="10" t="s">
        <v>284</v>
      </c>
      <c r="F610" s="11" t="n">
        <v>35</v>
      </c>
      <c r="G610" s="11" t="n">
        <v>3</v>
      </c>
      <c r="H610" s="26" t="n">
        <v>2474.72</v>
      </c>
      <c r="I610" s="26" t="n">
        <f aca="false">H610/G610</f>
        <v>824.906666666667</v>
      </c>
      <c r="J610" s="10" t="s">
        <v>280</v>
      </c>
      <c r="K610" s="10" t="s">
        <v>281</v>
      </c>
    </row>
    <row r="611" customFormat="false" ht="18.75" hidden="false" customHeight="true" outlineLevel="0" collapsed="false">
      <c r="A611" s="15" t="s">
        <v>1244</v>
      </c>
      <c r="B611" s="15" t="s">
        <v>563</v>
      </c>
      <c r="C611" s="15" t="s">
        <v>199</v>
      </c>
      <c r="D611" s="15" t="s">
        <v>36</v>
      </c>
      <c r="E611" s="15" t="s">
        <v>284</v>
      </c>
      <c r="F611" s="16" t="n">
        <v>7</v>
      </c>
      <c r="G611" s="16" t="n">
        <v>6</v>
      </c>
      <c r="H611" s="29" t="n">
        <v>2471.68</v>
      </c>
      <c r="I611" s="29" t="n">
        <f aca="false">H611/G611</f>
        <v>411.946666666667</v>
      </c>
      <c r="J611" s="15" t="s">
        <v>171</v>
      </c>
      <c r="K611" s="15" t="s">
        <v>172</v>
      </c>
    </row>
    <row r="612" customFormat="false" ht="18.75" hidden="false" customHeight="true" outlineLevel="0" collapsed="false">
      <c r="A612" s="10" t="s">
        <v>1245</v>
      </c>
      <c r="B612" s="10" t="s">
        <v>519</v>
      </c>
      <c r="C612" s="10" t="s">
        <v>181</v>
      </c>
      <c r="D612" s="10" t="s">
        <v>36</v>
      </c>
      <c r="E612" s="10" t="s">
        <v>284</v>
      </c>
      <c r="F612" s="11" t="n">
        <v>19</v>
      </c>
      <c r="G612" s="11" t="n">
        <v>6</v>
      </c>
      <c r="H612" s="26" t="n">
        <v>2470.02</v>
      </c>
      <c r="I612" s="26" t="n">
        <f aca="false">H612/G612</f>
        <v>411.67</v>
      </c>
      <c r="J612" s="10" t="s">
        <v>171</v>
      </c>
      <c r="K612" s="10" t="s">
        <v>172</v>
      </c>
    </row>
    <row r="613" customFormat="false" ht="18.75" hidden="false" customHeight="true" outlineLevel="0" collapsed="false">
      <c r="A613" s="15" t="s">
        <v>1246</v>
      </c>
      <c r="B613" s="15" t="s">
        <v>1247</v>
      </c>
      <c r="C613" s="15" t="s">
        <v>140</v>
      </c>
      <c r="D613" s="15" t="s">
        <v>35</v>
      </c>
      <c r="E613" s="15" t="s">
        <v>284</v>
      </c>
      <c r="F613" s="16" t="n">
        <v>13</v>
      </c>
      <c r="G613" s="16" t="n">
        <v>6</v>
      </c>
      <c r="H613" s="29" t="n">
        <v>2466.96</v>
      </c>
      <c r="I613" s="29" t="n">
        <f aca="false">H613/G613</f>
        <v>411.16</v>
      </c>
      <c r="J613" s="15" t="s">
        <v>171</v>
      </c>
      <c r="K613" s="15" t="s">
        <v>172</v>
      </c>
    </row>
    <row r="614" customFormat="false" ht="18.75" hidden="false" customHeight="true" outlineLevel="0" collapsed="false">
      <c r="A614" s="10" t="s">
        <v>1248</v>
      </c>
      <c r="B614" s="10" t="s">
        <v>910</v>
      </c>
      <c r="C614" s="10" t="s">
        <v>149</v>
      </c>
      <c r="D614" s="10" t="s">
        <v>35</v>
      </c>
      <c r="E614" s="10" t="s">
        <v>284</v>
      </c>
      <c r="F614" s="11" t="n">
        <v>2</v>
      </c>
      <c r="G614" s="11" t="n">
        <v>3</v>
      </c>
      <c r="H614" s="26" t="n">
        <v>2437.4</v>
      </c>
      <c r="I614" s="26" t="n">
        <f aca="false">H614/G614</f>
        <v>812.466666666667</v>
      </c>
      <c r="J614" s="10" t="s">
        <v>280</v>
      </c>
      <c r="K614" s="10" t="s">
        <v>281</v>
      </c>
    </row>
    <row r="615" customFormat="false" ht="18.75" hidden="false" customHeight="true" outlineLevel="0" collapsed="false">
      <c r="A615" s="15" t="s">
        <v>1249</v>
      </c>
      <c r="B615" s="15" t="s">
        <v>1250</v>
      </c>
      <c r="C615" s="15" t="s">
        <v>181</v>
      </c>
      <c r="D615" s="15" t="s">
        <v>36</v>
      </c>
      <c r="E615" s="15" t="s">
        <v>284</v>
      </c>
      <c r="F615" s="16" t="n">
        <v>46</v>
      </c>
      <c r="G615" s="16" t="n">
        <v>7</v>
      </c>
      <c r="H615" s="29" t="n">
        <v>2437.16</v>
      </c>
      <c r="I615" s="29" t="n">
        <f aca="false">H615/G615</f>
        <v>348.165714285714</v>
      </c>
      <c r="J615" s="15" t="s">
        <v>171</v>
      </c>
      <c r="K615" s="15" t="s">
        <v>172</v>
      </c>
    </row>
    <row r="616" customFormat="false" ht="18.75" hidden="false" customHeight="true" outlineLevel="0" collapsed="false">
      <c r="A616" s="10" t="s">
        <v>1251</v>
      </c>
      <c r="B616" s="10" t="s">
        <v>1252</v>
      </c>
      <c r="C616" s="10" t="s">
        <v>160</v>
      </c>
      <c r="D616" s="10" t="s">
        <v>36</v>
      </c>
      <c r="E616" s="10" t="s">
        <v>284</v>
      </c>
      <c r="F616" s="11" t="n">
        <v>61</v>
      </c>
      <c r="G616" s="11" t="n">
        <v>3</v>
      </c>
      <c r="H616" s="26" t="n">
        <v>2432.63</v>
      </c>
      <c r="I616" s="26" t="n">
        <f aca="false">H616/G616</f>
        <v>810.876666666667</v>
      </c>
      <c r="J616" s="10" t="s">
        <v>253</v>
      </c>
      <c r="K616" s="10" t="s">
        <v>254</v>
      </c>
    </row>
    <row r="617" customFormat="false" ht="18.75" hidden="false" customHeight="true" outlineLevel="0" collapsed="false">
      <c r="A617" s="15" t="s">
        <v>1253</v>
      </c>
      <c r="B617" s="15" t="s">
        <v>1254</v>
      </c>
      <c r="C617" s="15" t="s">
        <v>149</v>
      </c>
      <c r="D617" s="15" t="s">
        <v>35</v>
      </c>
      <c r="E617" s="15" t="s">
        <v>284</v>
      </c>
      <c r="F617" s="16" t="n">
        <v>37</v>
      </c>
      <c r="G617" s="16" t="n">
        <v>9</v>
      </c>
      <c r="H617" s="29" t="n">
        <v>2421.96</v>
      </c>
      <c r="I617" s="29" t="n">
        <f aca="false">H617/G617</f>
        <v>269.106666666667</v>
      </c>
      <c r="J617" s="15" t="s">
        <v>171</v>
      </c>
      <c r="K617" s="15" t="s">
        <v>172</v>
      </c>
    </row>
    <row r="618" customFormat="false" ht="18.75" hidden="false" customHeight="true" outlineLevel="0" collapsed="false">
      <c r="A618" s="10" t="s">
        <v>1255</v>
      </c>
      <c r="B618" s="10" t="s">
        <v>1256</v>
      </c>
      <c r="C618" s="10" t="s">
        <v>140</v>
      </c>
      <c r="D618" s="10" t="s">
        <v>35</v>
      </c>
      <c r="E618" s="10" t="s">
        <v>284</v>
      </c>
      <c r="F618" s="11" t="n">
        <v>112</v>
      </c>
      <c r="G618" s="11" t="n">
        <v>4</v>
      </c>
      <c r="H618" s="26" t="n">
        <v>2418.2</v>
      </c>
      <c r="I618" s="26" t="n">
        <f aca="false">H618/G618</f>
        <v>604.55</v>
      </c>
      <c r="J618" s="10" t="s">
        <v>253</v>
      </c>
      <c r="K618" s="10" t="s">
        <v>254</v>
      </c>
    </row>
    <row r="619" customFormat="false" ht="18.75" hidden="false" customHeight="true" outlineLevel="0" collapsed="false">
      <c r="A619" s="15" t="s">
        <v>1257</v>
      </c>
      <c r="B619" s="15" t="s">
        <v>1021</v>
      </c>
      <c r="C619" s="15" t="s">
        <v>166</v>
      </c>
      <c r="D619" s="15" t="s">
        <v>35</v>
      </c>
      <c r="E619" s="15" t="s">
        <v>284</v>
      </c>
      <c r="F619" s="16" t="n">
        <v>119</v>
      </c>
      <c r="G619" s="16" t="n">
        <v>3</v>
      </c>
      <c r="H619" s="29" t="n">
        <v>2416.24</v>
      </c>
      <c r="I619" s="29" t="n">
        <f aca="false">H619/G619</f>
        <v>805.413333333333</v>
      </c>
      <c r="J619" s="15" t="s">
        <v>253</v>
      </c>
      <c r="K619" s="15" t="s">
        <v>254</v>
      </c>
    </row>
    <row r="620" customFormat="false" ht="18.75" hidden="false" customHeight="true" outlineLevel="0" collapsed="false">
      <c r="A620" s="10" t="s">
        <v>1258</v>
      </c>
      <c r="B620" s="10" t="s">
        <v>300</v>
      </c>
      <c r="C620" s="10" t="s">
        <v>219</v>
      </c>
      <c r="D620" s="10" t="s">
        <v>35</v>
      </c>
      <c r="E620" s="10" t="s">
        <v>284</v>
      </c>
      <c r="F620" s="11" t="n">
        <v>26</v>
      </c>
      <c r="G620" s="11" t="n">
        <v>6</v>
      </c>
      <c r="H620" s="26" t="n">
        <v>2411.69</v>
      </c>
      <c r="I620" s="26" t="n">
        <f aca="false">H620/G620</f>
        <v>401.948333333333</v>
      </c>
      <c r="J620" s="10" t="s">
        <v>171</v>
      </c>
      <c r="K620" s="10" t="s">
        <v>172</v>
      </c>
    </row>
    <row r="621" customFormat="false" ht="18.75" hidden="false" customHeight="true" outlineLevel="0" collapsed="false">
      <c r="A621" s="15" t="s">
        <v>1259</v>
      </c>
      <c r="B621" s="15" t="s">
        <v>328</v>
      </c>
      <c r="C621" s="15" t="s">
        <v>149</v>
      </c>
      <c r="D621" s="15" t="s">
        <v>35</v>
      </c>
      <c r="E621" s="15" t="s">
        <v>284</v>
      </c>
      <c r="F621" s="16" t="n">
        <v>101</v>
      </c>
      <c r="G621" s="16" t="n">
        <v>6</v>
      </c>
      <c r="H621" s="29" t="n">
        <v>2395.48</v>
      </c>
      <c r="I621" s="29" t="n">
        <f aca="false">H621/G621</f>
        <v>399.246666666667</v>
      </c>
      <c r="J621" s="15" t="s">
        <v>189</v>
      </c>
      <c r="K621" s="15" t="s">
        <v>190</v>
      </c>
    </row>
    <row r="622" customFormat="false" ht="18.75" hidden="false" customHeight="true" outlineLevel="0" collapsed="false">
      <c r="A622" s="10" t="s">
        <v>1260</v>
      </c>
      <c r="B622" s="10" t="s">
        <v>1261</v>
      </c>
      <c r="C622" s="10" t="s">
        <v>160</v>
      </c>
      <c r="D622" s="10" t="s">
        <v>36</v>
      </c>
      <c r="E622" s="10" t="s">
        <v>284</v>
      </c>
      <c r="F622" s="11" t="n">
        <v>41</v>
      </c>
      <c r="G622" s="11" t="n">
        <v>8</v>
      </c>
      <c r="H622" s="26" t="n">
        <v>2387.67</v>
      </c>
      <c r="I622" s="26" t="n">
        <f aca="false">H622/G622</f>
        <v>298.45875</v>
      </c>
      <c r="J622" s="10" t="s">
        <v>171</v>
      </c>
      <c r="K622" s="10" t="s">
        <v>172</v>
      </c>
    </row>
    <row r="623" customFormat="false" ht="18.75" hidden="false" customHeight="true" outlineLevel="0" collapsed="false">
      <c r="A623" s="15" t="s">
        <v>1262</v>
      </c>
      <c r="B623" s="15" t="s">
        <v>205</v>
      </c>
      <c r="C623" s="15" t="s">
        <v>146</v>
      </c>
      <c r="D623" s="15" t="s">
        <v>34</v>
      </c>
      <c r="E623" s="15" t="s">
        <v>284</v>
      </c>
      <c r="F623" s="16" t="n">
        <v>49</v>
      </c>
      <c r="G623" s="16" t="n">
        <v>3</v>
      </c>
      <c r="H623" s="29" t="n">
        <v>2374.05</v>
      </c>
      <c r="I623" s="29" t="n">
        <f aca="false">H623/G623</f>
        <v>791.35</v>
      </c>
      <c r="J623" s="15" t="s">
        <v>253</v>
      </c>
      <c r="K623" s="15" t="s">
        <v>254</v>
      </c>
    </row>
    <row r="624" customFormat="false" ht="18.75" hidden="false" customHeight="true" outlineLevel="0" collapsed="false">
      <c r="A624" s="10" t="s">
        <v>1263</v>
      </c>
      <c r="B624" s="10" t="s">
        <v>1264</v>
      </c>
      <c r="C624" s="10" t="s">
        <v>181</v>
      </c>
      <c r="D624" s="10" t="s">
        <v>36</v>
      </c>
      <c r="E624" s="10" t="s">
        <v>284</v>
      </c>
      <c r="F624" s="11" t="n">
        <v>0</v>
      </c>
      <c r="G624" s="11" t="n">
        <v>7</v>
      </c>
      <c r="H624" s="26" t="n">
        <v>2369.55</v>
      </c>
      <c r="I624" s="26" t="n">
        <f aca="false">H624/G624</f>
        <v>338.507142857143</v>
      </c>
      <c r="J624" s="10" t="s">
        <v>171</v>
      </c>
      <c r="K624" s="10" t="s">
        <v>172</v>
      </c>
    </row>
    <row r="625" customFormat="false" ht="18.75" hidden="false" customHeight="true" outlineLevel="0" collapsed="false">
      <c r="A625" s="15" t="s">
        <v>1265</v>
      </c>
      <c r="B625" s="15" t="s">
        <v>1173</v>
      </c>
      <c r="C625" s="15" t="s">
        <v>226</v>
      </c>
      <c r="D625" s="15" t="s">
        <v>36</v>
      </c>
      <c r="E625" s="15" t="s">
        <v>384</v>
      </c>
      <c r="F625" s="16" t="n">
        <v>111</v>
      </c>
      <c r="G625" s="16" t="n">
        <v>5</v>
      </c>
      <c r="H625" s="29" t="n">
        <v>2356.75</v>
      </c>
      <c r="I625" s="29" t="n">
        <f aca="false">H625/G625</f>
        <v>471.35</v>
      </c>
      <c r="J625" s="15" t="s">
        <v>268</v>
      </c>
      <c r="K625" s="15" t="s">
        <v>269</v>
      </c>
    </row>
    <row r="626" customFormat="false" ht="18.75" hidden="false" customHeight="true" outlineLevel="0" collapsed="false">
      <c r="A626" s="10" t="s">
        <v>1266</v>
      </c>
      <c r="B626" s="10" t="s">
        <v>183</v>
      </c>
      <c r="C626" s="10" t="s">
        <v>181</v>
      </c>
      <c r="D626" s="10" t="s">
        <v>36</v>
      </c>
      <c r="E626" s="10" t="s">
        <v>284</v>
      </c>
      <c r="F626" s="11" t="n">
        <v>12</v>
      </c>
      <c r="G626" s="11" t="n">
        <v>6</v>
      </c>
      <c r="H626" s="26" t="n">
        <v>2348.62</v>
      </c>
      <c r="I626" s="26" t="n">
        <f aca="false">H626/G626</f>
        <v>391.436666666667</v>
      </c>
      <c r="J626" s="10" t="s">
        <v>171</v>
      </c>
      <c r="K626" s="10" t="s">
        <v>172</v>
      </c>
    </row>
    <row r="627" customFormat="false" ht="18.75" hidden="false" customHeight="true" outlineLevel="0" collapsed="false">
      <c r="A627" s="15" t="s">
        <v>1267</v>
      </c>
      <c r="B627" s="15" t="s">
        <v>1268</v>
      </c>
      <c r="C627" s="15" t="s">
        <v>160</v>
      </c>
      <c r="D627" s="15" t="s">
        <v>36</v>
      </c>
      <c r="E627" s="15" t="s">
        <v>284</v>
      </c>
      <c r="F627" s="16" t="n">
        <v>5</v>
      </c>
      <c r="G627" s="16" t="n">
        <v>4</v>
      </c>
      <c r="H627" s="29" t="n">
        <v>2345.35</v>
      </c>
      <c r="I627" s="29" t="n">
        <f aca="false">H627/G627</f>
        <v>586.3375</v>
      </c>
      <c r="J627" s="15" t="s">
        <v>280</v>
      </c>
      <c r="K627" s="15" t="s">
        <v>281</v>
      </c>
    </row>
    <row r="628" customFormat="false" ht="18.75" hidden="false" customHeight="true" outlineLevel="0" collapsed="false">
      <c r="A628" s="10" t="s">
        <v>1269</v>
      </c>
      <c r="B628" s="10" t="s">
        <v>332</v>
      </c>
      <c r="C628" s="10" t="s">
        <v>149</v>
      </c>
      <c r="D628" s="10" t="s">
        <v>35</v>
      </c>
      <c r="E628" s="10" t="s">
        <v>284</v>
      </c>
      <c r="F628" s="11" t="n">
        <v>59</v>
      </c>
      <c r="G628" s="11" t="n">
        <v>5</v>
      </c>
      <c r="H628" s="26" t="n">
        <v>2339.95</v>
      </c>
      <c r="I628" s="26" t="n">
        <f aca="false">H628/G628</f>
        <v>467.99</v>
      </c>
      <c r="J628" s="10" t="s">
        <v>189</v>
      </c>
      <c r="K628" s="10" t="s">
        <v>190</v>
      </c>
    </row>
    <row r="629" customFormat="false" ht="18.75" hidden="false" customHeight="true" outlineLevel="0" collapsed="false">
      <c r="A629" s="15" t="s">
        <v>1270</v>
      </c>
      <c r="B629" s="15" t="s">
        <v>1271</v>
      </c>
      <c r="C629" s="15" t="s">
        <v>146</v>
      </c>
      <c r="D629" s="15" t="s">
        <v>34</v>
      </c>
      <c r="E629" s="15" t="s">
        <v>284</v>
      </c>
      <c r="F629" s="16" t="n">
        <v>36</v>
      </c>
      <c r="G629" s="16" t="n">
        <v>3</v>
      </c>
      <c r="H629" s="29" t="n">
        <v>2339.42</v>
      </c>
      <c r="I629" s="29" t="n">
        <f aca="false">H629/G629</f>
        <v>779.806666666667</v>
      </c>
      <c r="J629" s="15" t="s">
        <v>280</v>
      </c>
      <c r="K629" s="15" t="s">
        <v>281</v>
      </c>
    </row>
    <row r="630" customFormat="false" ht="18.75" hidden="false" customHeight="true" outlineLevel="0" collapsed="false">
      <c r="A630" s="10" t="s">
        <v>1272</v>
      </c>
      <c r="B630" s="10" t="s">
        <v>1273</v>
      </c>
      <c r="C630" s="10" t="s">
        <v>140</v>
      </c>
      <c r="D630" s="10" t="s">
        <v>35</v>
      </c>
      <c r="E630" s="10" t="s">
        <v>284</v>
      </c>
      <c r="F630" s="11" t="n">
        <v>75</v>
      </c>
      <c r="G630" s="11" t="n">
        <v>9</v>
      </c>
      <c r="H630" s="26" t="n">
        <v>2336.48</v>
      </c>
      <c r="I630" s="26" t="n">
        <f aca="false">H630/G630</f>
        <v>259.608888888889</v>
      </c>
      <c r="J630" s="10" t="s">
        <v>189</v>
      </c>
      <c r="K630" s="10" t="s">
        <v>190</v>
      </c>
    </row>
    <row r="631" customFormat="false" ht="18.75" hidden="false" customHeight="true" outlineLevel="0" collapsed="false">
      <c r="A631" s="15" t="s">
        <v>1274</v>
      </c>
      <c r="B631" s="15" t="s">
        <v>1275</v>
      </c>
      <c r="C631" s="15" t="s">
        <v>146</v>
      </c>
      <c r="D631" s="15" t="s">
        <v>34</v>
      </c>
      <c r="E631" s="15" t="s">
        <v>284</v>
      </c>
      <c r="F631" s="16" t="n">
        <v>6</v>
      </c>
      <c r="G631" s="16" t="n">
        <v>4</v>
      </c>
      <c r="H631" s="29" t="n">
        <v>2330.29</v>
      </c>
      <c r="I631" s="29" t="n">
        <f aca="false">H631/G631</f>
        <v>582.5725</v>
      </c>
      <c r="J631" s="15" t="s">
        <v>280</v>
      </c>
      <c r="K631" s="15" t="s">
        <v>281</v>
      </c>
    </row>
    <row r="632" customFormat="false" ht="18.75" hidden="false" customHeight="true" outlineLevel="0" collapsed="false">
      <c r="A632" s="10" t="s">
        <v>1276</v>
      </c>
      <c r="B632" s="10" t="s">
        <v>1277</v>
      </c>
      <c r="C632" s="10" t="s">
        <v>149</v>
      </c>
      <c r="D632" s="10" t="s">
        <v>35</v>
      </c>
      <c r="E632" s="10" t="s">
        <v>284</v>
      </c>
      <c r="F632" s="11" t="n">
        <v>84</v>
      </c>
      <c r="G632" s="11" t="n">
        <v>8</v>
      </c>
      <c r="H632" s="26" t="n">
        <v>2322.66</v>
      </c>
      <c r="I632" s="26" t="n">
        <f aca="false">H632/G632</f>
        <v>290.3325</v>
      </c>
      <c r="J632" s="10" t="s">
        <v>189</v>
      </c>
      <c r="K632" s="10" t="s">
        <v>190</v>
      </c>
    </row>
    <row r="633" customFormat="false" ht="18.75" hidden="false" customHeight="true" outlineLevel="0" collapsed="false">
      <c r="A633" s="15" t="s">
        <v>1278</v>
      </c>
      <c r="B633" s="15" t="s">
        <v>1279</v>
      </c>
      <c r="C633" s="15" t="s">
        <v>181</v>
      </c>
      <c r="D633" s="15" t="s">
        <v>36</v>
      </c>
      <c r="E633" s="15" t="s">
        <v>284</v>
      </c>
      <c r="F633" s="16" t="n">
        <v>84</v>
      </c>
      <c r="G633" s="16" t="n">
        <v>7</v>
      </c>
      <c r="H633" s="29" t="n">
        <v>2318.85</v>
      </c>
      <c r="I633" s="29" t="n">
        <f aca="false">H633/G633</f>
        <v>331.264285714286</v>
      </c>
      <c r="J633" s="15" t="s">
        <v>189</v>
      </c>
      <c r="K633" s="15" t="s">
        <v>190</v>
      </c>
    </row>
    <row r="634" customFormat="false" ht="18.75" hidden="false" customHeight="true" outlineLevel="0" collapsed="false">
      <c r="A634" s="10" t="s">
        <v>1280</v>
      </c>
      <c r="B634" s="10" t="s">
        <v>511</v>
      </c>
      <c r="C634" s="10" t="s">
        <v>199</v>
      </c>
      <c r="D634" s="10" t="s">
        <v>36</v>
      </c>
      <c r="E634" s="10" t="s">
        <v>284</v>
      </c>
      <c r="F634" s="11" t="n">
        <v>40</v>
      </c>
      <c r="G634" s="11" t="n">
        <v>5</v>
      </c>
      <c r="H634" s="26" t="n">
        <v>2318.67</v>
      </c>
      <c r="I634" s="26" t="n">
        <f aca="false">H634/G634</f>
        <v>463.734</v>
      </c>
      <c r="J634" s="10" t="s">
        <v>171</v>
      </c>
      <c r="K634" s="10" t="s">
        <v>172</v>
      </c>
    </row>
    <row r="635" customFormat="false" ht="18.75" hidden="false" customHeight="true" outlineLevel="0" collapsed="false">
      <c r="A635" s="15" t="s">
        <v>1281</v>
      </c>
      <c r="B635" s="15" t="s">
        <v>1282</v>
      </c>
      <c r="C635" s="15" t="s">
        <v>207</v>
      </c>
      <c r="D635" s="15" t="s">
        <v>35</v>
      </c>
      <c r="E635" s="15" t="s">
        <v>284</v>
      </c>
      <c r="F635" s="16" t="n">
        <v>21</v>
      </c>
      <c r="G635" s="16" t="n">
        <v>7</v>
      </c>
      <c r="H635" s="29" t="n">
        <v>2312.59</v>
      </c>
      <c r="I635" s="29" t="n">
        <f aca="false">H635/G635</f>
        <v>330.37</v>
      </c>
      <c r="J635" s="15" t="s">
        <v>171</v>
      </c>
      <c r="K635" s="15" t="s">
        <v>172</v>
      </c>
    </row>
    <row r="636" customFormat="false" ht="18.75" hidden="false" customHeight="true" outlineLevel="0" collapsed="false">
      <c r="A636" s="10" t="s">
        <v>1283</v>
      </c>
      <c r="B636" s="10" t="s">
        <v>1284</v>
      </c>
      <c r="C636" s="10" t="s">
        <v>160</v>
      </c>
      <c r="D636" s="10" t="s">
        <v>36</v>
      </c>
      <c r="E636" s="10" t="s">
        <v>284</v>
      </c>
      <c r="F636" s="11" t="n">
        <v>18</v>
      </c>
      <c r="G636" s="11" t="n">
        <v>4</v>
      </c>
      <c r="H636" s="26" t="n">
        <v>2307</v>
      </c>
      <c r="I636" s="26" t="n">
        <f aca="false">H636/G636</f>
        <v>576.75</v>
      </c>
      <c r="J636" s="10" t="s">
        <v>280</v>
      </c>
      <c r="K636" s="10" t="s">
        <v>281</v>
      </c>
    </row>
    <row r="637" customFormat="false" ht="18.75" hidden="false" customHeight="true" outlineLevel="0" collapsed="false">
      <c r="A637" s="15" t="s">
        <v>1285</v>
      </c>
      <c r="B637" s="15" t="s">
        <v>1097</v>
      </c>
      <c r="C637" s="15" t="s">
        <v>146</v>
      </c>
      <c r="D637" s="15" t="s">
        <v>34</v>
      </c>
      <c r="E637" s="15" t="s">
        <v>284</v>
      </c>
      <c r="F637" s="16" t="n">
        <v>48</v>
      </c>
      <c r="G637" s="16" t="n">
        <v>8</v>
      </c>
      <c r="H637" s="29" t="n">
        <v>2292.01</v>
      </c>
      <c r="I637" s="29" t="n">
        <f aca="false">H637/G637</f>
        <v>286.50125</v>
      </c>
      <c r="J637" s="15" t="s">
        <v>171</v>
      </c>
      <c r="K637" s="15" t="s">
        <v>172</v>
      </c>
    </row>
    <row r="638" customFormat="false" ht="18.75" hidden="false" customHeight="true" outlineLevel="0" collapsed="false">
      <c r="A638" s="10" t="s">
        <v>1286</v>
      </c>
      <c r="B638" s="10" t="s">
        <v>1287</v>
      </c>
      <c r="C638" s="10" t="s">
        <v>163</v>
      </c>
      <c r="D638" s="10" t="s">
        <v>36</v>
      </c>
      <c r="E638" s="10" t="s">
        <v>284</v>
      </c>
      <c r="F638" s="11" t="n">
        <v>77</v>
      </c>
      <c r="G638" s="11" t="n">
        <v>2</v>
      </c>
      <c r="H638" s="26" t="n">
        <v>2286.08</v>
      </c>
      <c r="I638" s="26" t="n">
        <f aca="false">H638/G638</f>
        <v>1143.04</v>
      </c>
      <c r="J638" s="10" t="s">
        <v>253</v>
      </c>
      <c r="K638" s="10" t="s">
        <v>254</v>
      </c>
    </row>
    <row r="639" customFormat="false" ht="18.75" hidden="false" customHeight="true" outlineLevel="0" collapsed="false">
      <c r="A639" s="15" t="s">
        <v>1288</v>
      </c>
      <c r="B639" s="15" t="s">
        <v>1289</v>
      </c>
      <c r="C639" s="15" t="s">
        <v>184</v>
      </c>
      <c r="D639" s="15" t="s">
        <v>34</v>
      </c>
      <c r="E639" s="15" t="s">
        <v>284</v>
      </c>
      <c r="F639" s="16" t="n">
        <v>130</v>
      </c>
      <c r="G639" s="16" t="n">
        <v>4</v>
      </c>
      <c r="H639" s="29" t="n">
        <v>2254.5</v>
      </c>
      <c r="I639" s="29" t="n">
        <f aca="false">H639/G639</f>
        <v>563.625</v>
      </c>
      <c r="J639" s="15" t="s">
        <v>253</v>
      </c>
      <c r="K639" s="15" t="s">
        <v>254</v>
      </c>
    </row>
    <row r="640" customFormat="false" ht="18.75" hidden="false" customHeight="true" outlineLevel="0" collapsed="false">
      <c r="A640" s="10" t="s">
        <v>1290</v>
      </c>
      <c r="B640" s="10" t="s">
        <v>780</v>
      </c>
      <c r="C640" s="10" t="s">
        <v>207</v>
      </c>
      <c r="D640" s="10" t="s">
        <v>35</v>
      </c>
      <c r="E640" s="10" t="s">
        <v>284</v>
      </c>
      <c r="F640" s="11" t="n">
        <v>212</v>
      </c>
      <c r="G640" s="11" t="n">
        <v>2</v>
      </c>
      <c r="H640" s="26" t="n">
        <v>2249.58</v>
      </c>
      <c r="I640" s="26" t="n">
        <f aca="false">H640/G640</f>
        <v>1124.79</v>
      </c>
      <c r="J640" s="10" t="s">
        <v>253</v>
      </c>
      <c r="K640" s="10" t="s">
        <v>254</v>
      </c>
    </row>
    <row r="641" customFormat="false" ht="18.75" hidden="false" customHeight="true" outlineLevel="0" collapsed="false">
      <c r="A641" s="15" t="s">
        <v>1291</v>
      </c>
      <c r="B641" s="15" t="s">
        <v>371</v>
      </c>
      <c r="C641" s="15" t="s">
        <v>146</v>
      </c>
      <c r="D641" s="15" t="s">
        <v>34</v>
      </c>
      <c r="E641" s="15" t="s">
        <v>284</v>
      </c>
      <c r="F641" s="16" t="n">
        <v>157</v>
      </c>
      <c r="G641" s="16" t="n">
        <v>4</v>
      </c>
      <c r="H641" s="29" t="n">
        <v>2242.42</v>
      </c>
      <c r="I641" s="29" t="n">
        <f aca="false">H641/G641</f>
        <v>560.605</v>
      </c>
      <c r="J641" s="15" t="s">
        <v>253</v>
      </c>
      <c r="K641" s="15" t="s">
        <v>254</v>
      </c>
    </row>
    <row r="642" customFormat="false" ht="18.75" hidden="false" customHeight="true" outlineLevel="0" collapsed="false">
      <c r="A642" s="10" t="s">
        <v>1292</v>
      </c>
      <c r="B642" s="10" t="s">
        <v>685</v>
      </c>
      <c r="C642" s="10" t="s">
        <v>149</v>
      </c>
      <c r="D642" s="10" t="s">
        <v>35</v>
      </c>
      <c r="E642" s="10" t="s">
        <v>284</v>
      </c>
      <c r="F642" s="11" t="n">
        <v>9</v>
      </c>
      <c r="G642" s="11" t="n">
        <v>6</v>
      </c>
      <c r="H642" s="26" t="n">
        <v>2240.08</v>
      </c>
      <c r="I642" s="26" t="n">
        <f aca="false">H642/G642</f>
        <v>373.346666666667</v>
      </c>
      <c r="J642" s="10" t="s">
        <v>268</v>
      </c>
      <c r="K642" s="10" t="s">
        <v>269</v>
      </c>
    </row>
    <row r="643" customFormat="false" ht="18.75" hidden="false" customHeight="true" outlineLevel="0" collapsed="false">
      <c r="A643" s="15" t="s">
        <v>1293</v>
      </c>
      <c r="B643" s="15" t="s">
        <v>1294</v>
      </c>
      <c r="C643" s="15" t="s">
        <v>163</v>
      </c>
      <c r="D643" s="15" t="s">
        <v>36</v>
      </c>
      <c r="E643" s="15" t="s">
        <v>284</v>
      </c>
      <c r="F643" s="16" t="n">
        <v>128</v>
      </c>
      <c r="G643" s="16" t="n">
        <v>4</v>
      </c>
      <c r="H643" s="29" t="n">
        <v>2237.07</v>
      </c>
      <c r="I643" s="29" t="n">
        <f aca="false">H643/G643</f>
        <v>559.2675</v>
      </c>
      <c r="J643" s="15" t="s">
        <v>253</v>
      </c>
      <c r="K643" s="15" t="s">
        <v>254</v>
      </c>
    </row>
    <row r="644" customFormat="false" ht="18.75" hidden="false" customHeight="true" outlineLevel="0" collapsed="false">
      <c r="A644" s="10" t="s">
        <v>1295</v>
      </c>
      <c r="B644" s="10" t="s">
        <v>1296</v>
      </c>
      <c r="C644" s="10" t="s">
        <v>199</v>
      </c>
      <c r="D644" s="10" t="s">
        <v>36</v>
      </c>
      <c r="E644" s="10" t="s">
        <v>284</v>
      </c>
      <c r="F644" s="11" t="n">
        <v>5</v>
      </c>
      <c r="G644" s="11" t="n">
        <v>7</v>
      </c>
      <c r="H644" s="26" t="n">
        <v>2230.43</v>
      </c>
      <c r="I644" s="26" t="n">
        <f aca="false">H644/G644</f>
        <v>318.632857142857</v>
      </c>
      <c r="J644" s="10" t="s">
        <v>268</v>
      </c>
      <c r="K644" s="10" t="s">
        <v>269</v>
      </c>
    </row>
    <row r="645" customFormat="false" ht="18.75" hidden="false" customHeight="true" outlineLevel="0" collapsed="false">
      <c r="A645" s="15" t="s">
        <v>1297</v>
      </c>
      <c r="B645" s="15" t="s">
        <v>1298</v>
      </c>
      <c r="C645" s="15" t="s">
        <v>160</v>
      </c>
      <c r="D645" s="15" t="s">
        <v>36</v>
      </c>
      <c r="E645" s="15" t="s">
        <v>284</v>
      </c>
      <c r="F645" s="16" t="n">
        <v>96</v>
      </c>
      <c r="G645" s="16" t="n">
        <v>5</v>
      </c>
      <c r="H645" s="29" t="n">
        <v>2228.9</v>
      </c>
      <c r="I645" s="29" t="n">
        <f aca="false">H645/G645</f>
        <v>445.78</v>
      </c>
      <c r="J645" s="15" t="s">
        <v>189</v>
      </c>
      <c r="K645" s="15" t="s">
        <v>190</v>
      </c>
    </row>
    <row r="646" customFormat="false" ht="18.75" hidden="false" customHeight="true" outlineLevel="0" collapsed="false">
      <c r="A646" s="10" t="s">
        <v>1299</v>
      </c>
      <c r="B646" s="10" t="s">
        <v>1247</v>
      </c>
      <c r="C646" s="10" t="s">
        <v>146</v>
      </c>
      <c r="D646" s="10" t="s">
        <v>34</v>
      </c>
      <c r="E646" s="10" t="s">
        <v>284</v>
      </c>
      <c r="F646" s="11" t="n">
        <v>97</v>
      </c>
      <c r="G646" s="11" t="n">
        <v>7</v>
      </c>
      <c r="H646" s="26" t="n">
        <v>2227.78</v>
      </c>
      <c r="I646" s="26" t="n">
        <f aca="false">H646/G646</f>
        <v>318.254285714286</v>
      </c>
      <c r="J646" s="10" t="s">
        <v>189</v>
      </c>
      <c r="K646" s="10" t="s">
        <v>190</v>
      </c>
    </row>
    <row r="647" customFormat="false" ht="18.75" hidden="false" customHeight="true" outlineLevel="0" collapsed="false">
      <c r="A647" s="15" t="s">
        <v>1300</v>
      </c>
      <c r="B647" s="15" t="s">
        <v>1301</v>
      </c>
      <c r="C647" s="15" t="s">
        <v>155</v>
      </c>
      <c r="D647" s="15" t="s">
        <v>34</v>
      </c>
      <c r="E647" s="15" t="s">
        <v>284</v>
      </c>
      <c r="F647" s="16" t="n">
        <v>139</v>
      </c>
      <c r="G647" s="16" t="n">
        <v>7</v>
      </c>
      <c r="H647" s="29" t="n">
        <v>2225.71</v>
      </c>
      <c r="I647" s="29" t="n">
        <f aca="false">H647/G647</f>
        <v>317.958571428571</v>
      </c>
      <c r="J647" s="15" t="s">
        <v>268</v>
      </c>
      <c r="K647" s="15" t="s">
        <v>269</v>
      </c>
    </row>
    <row r="648" customFormat="false" ht="18.75" hidden="false" customHeight="true" outlineLevel="0" collapsed="false">
      <c r="A648" s="10" t="s">
        <v>1302</v>
      </c>
      <c r="B648" s="10" t="s">
        <v>1303</v>
      </c>
      <c r="C648" s="10" t="s">
        <v>163</v>
      </c>
      <c r="D648" s="10" t="s">
        <v>36</v>
      </c>
      <c r="E648" s="10" t="s">
        <v>284</v>
      </c>
      <c r="F648" s="11" t="n">
        <v>6</v>
      </c>
      <c r="G648" s="11" t="n">
        <v>6</v>
      </c>
      <c r="H648" s="26" t="n">
        <v>2223.2</v>
      </c>
      <c r="I648" s="26" t="n">
        <f aca="false">H648/G648</f>
        <v>370.533333333333</v>
      </c>
      <c r="J648" s="10" t="s">
        <v>268</v>
      </c>
      <c r="K648" s="10" t="s">
        <v>269</v>
      </c>
    </row>
    <row r="649" customFormat="false" ht="18.75" hidden="false" customHeight="true" outlineLevel="0" collapsed="false">
      <c r="A649" s="15" t="s">
        <v>1304</v>
      </c>
      <c r="B649" s="15" t="s">
        <v>1008</v>
      </c>
      <c r="C649" s="15" t="s">
        <v>184</v>
      </c>
      <c r="D649" s="15" t="s">
        <v>34</v>
      </c>
      <c r="E649" s="15" t="s">
        <v>284</v>
      </c>
      <c r="F649" s="16" t="n">
        <v>59</v>
      </c>
      <c r="G649" s="16" t="n">
        <v>7</v>
      </c>
      <c r="H649" s="29" t="n">
        <v>2221.22</v>
      </c>
      <c r="I649" s="29" t="n">
        <f aca="false">H649/G649</f>
        <v>317.317142857143</v>
      </c>
      <c r="J649" s="15" t="s">
        <v>189</v>
      </c>
      <c r="K649" s="15" t="s">
        <v>190</v>
      </c>
    </row>
    <row r="650" customFormat="false" ht="18.75" hidden="false" customHeight="true" outlineLevel="0" collapsed="false">
      <c r="A650" s="10" t="s">
        <v>1305</v>
      </c>
      <c r="B650" s="10" t="s">
        <v>1306</v>
      </c>
      <c r="C650" s="10" t="s">
        <v>160</v>
      </c>
      <c r="D650" s="10" t="s">
        <v>36</v>
      </c>
      <c r="E650" s="10" t="s">
        <v>284</v>
      </c>
      <c r="F650" s="11" t="n">
        <v>34</v>
      </c>
      <c r="G650" s="11" t="n">
        <v>5</v>
      </c>
      <c r="H650" s="26" t="n">
        <v>2219.62</v>
      </c>
      <c r="I650" s="26" t="n">
        <f aca="false">H650/G650</f>
        <v>443.924</v>
      </c>
      <c r="J650" s="10" t="s">
        <v>268</v>
      </c>
      <c r="K650" s="10" t="s">
        <v>269</v>
      </c>
    </row>
    <row r="651" customFormat="false" ht="18.75" hidden="false" customHeight="true" outlineLevel="0" collapsed="false">
      <c r="A651" s="15" t="s">
        <v>1307</v>
      </c>
      <c r="B651" s="15" t="s">
        <v>1308</v>
      </c>
      <c r="C651" s="15" t="s">
        <v>163</v>
      </c>
      <c r="D651" s="15" t="s">
        <v>36</v>
      </c>
      <c r="E651" s="15" t="s">
        <v>284</v>
      </c>
      <c r="F651" s="16" t="n">
        <v>44</v>
      </c>
      <c r="G651" s="16" t="n">
        <v>4</v>
      </c>
      <c r="H651" s="29" t="n">
        <v>2218</v>
      </c>
      <c r="I651" s="29" t="n">
        <f aca="false">H651/G651</f>
        <v>554.5</v>
      </c>
      <c r="J651" s="15" t="s">
        <v>280</v>
      </c>
      <c r="K651" s="15" t="s">
        <v>281</v>
      </c>
    </row>
    <row r="652" customFormat="false" ht="18.75" hidden="false" customHeight="true" outlineLevel="0" collapsed="false">
      <c r="A652" s="10" t="s">
        <v>1309</v>
      </c>
      <c r="B652" s="10" t="s">
        <v>1310</v>
      </c>
      <c r="C652" s="10" t="s">
        <v>155</v>
      </c>
      <c r="D652" s="10" t="s">
        <v>34</v>
      </c>
      <c r="E652" s="10" t="s">
        <v>141</v>
      </c>
      <c r="F652" s="11" t="n">
        <v>54</v>
      </c>
      <c r="G652" s="11" t="n">
        <v>2</v>
      </c>
      <c r="H652" s="26" t="n">
        <v>2212.6</v>
      </c>
      <c r="I652" s="26" t="n">
        <f aca="false">H652/G652</f>
        <v>1106.3</v>
      </c>
      <c r="J652" s="10" t="s">
        <v>253</v>
      </c>
      <c r="K652" s="10" t="s">
        <v>254</v>
      </c>
    </row>
    <row r="653" customFormat="false" ht="18.75" hidden="false" customHeight="true" outlineLevel="0" collapsed="false">
      <c r="A653" s="15" t="s">
        <v>1311</v>
      </c>
      <c r="B653" s="15" t="s">
        <v>386</v>
      </c>
      <c r="C653" s="15" t="s">
        <v>155</v>
      </c>
      <c r="D653" s="15" t="s">
        <v>34</v>
      </c>
      <c r="E653" s="15" t="s">
        <v>284</v>
      </c>
      <c r="F653" s="16" t="n">
        <v>35</v>
      </c>
      <c r="G653" s="16" t="n">
        <v>3</v>
      </c>
      <c r="H653" s="29" t="n">
        <v>2208.13</v>
      </c>
      <c r="I653" s="29" t="n">
        <f aca="false">H653/G653</f>
        <v>736.043333333334</v>
      </c>
      <c r="J653" s="15" t="s">
        <v>280</v>
      </c>
      <c r="K653" s="15" t="s">
        <v>281</v>
      </c>
    </row>
    <row r="654" customFormat="false" ht="18.75" hidden="false" customHeight="true" outlineLevel="0" collapsed="false">
      <c r="A654" s="10" t="s">
        <v>1312</v>
      </c>
      <c r="B654" s="10" t="s">
        <v>1313</v>
      </c>
      <c r="C654" s="10" t="s">
        <v>226</v>
      </c>
      <c r="D654" s="10" t="s">
        <v>36</v>
      </c>
      <c r="E654" s="10" t="s">
        <v>284</v>
      </c>
      <c r="F654" s="11" t="n">
        <v>105</v>
      </c>
      <c r="G654" s="11" t="n">
        <v>6</v>
      </c>
      <c r="H654" s="26" t="n">
        <v>2184.18</v>
      </c>
      <c r="I654" s="26" t="n">
        <f aca="false">H654/G654</f>
        <v>364.03</v>
      </c>
      <c r="J654" s="10" t="s">
        <v>189</v>
      </c>
      <c r="K654" s="10" t="s">
        <v>190</v>
      </c>
    </row>
    <row r="655" customFormat="false" ht="18.75" hidden="false" customHeight="true" outlineLevel="0" collapsed="false">
      <c r="A655" s="15" t="s">
        <v>1314</v>
      </c>
      <c r="B655" s="15" t="s">
        <v>1315</v>
      </c>
      <c r="C655" s="15" t="s">
        <v>207</v>
      </c>
      <c r="D655" s="15" t="s">
        <v>35</v>
      </c>
      <c r="E655" s="15" t="s">
        <v>284</v>
      </c>
      <c r="F655" s="16" t="n">
        <v>111</v>
      </c>
      <c r="G655" s="16" t="n">
        <v>6</v>
      </c>
      <c r="H655" s="29" t="n">
        <v>2179.18</v>
      </c>
      <c r="I655" s="29" t="n">
        <f aca="false">H655/G655</f>
        <v>363.196666666667</v>
      </c>
      <c r="J655" s="15" t="s">
        <v>268</v>
      </c>
      <c r="K655" s="15" t="s">
        <v>269</v>
      </c>
    </row>
    <row r="656" customFormat="false" ht="18.75" hidden="false" customHeight="true" outlineLevel="0" collapsed="false">
      <c r="A656" s="10" t="s">
        <v>1316</v>
      </c>
      <c r="B656" s="10" t="s">
        <v>1317</v>
      </c>
      <c r="C656" s="10" t="s">
        <v>155</v>
      </c>
      <c r="D656" s="10" t="s">
        <v>34</v>
      </c>
      <c r="E656" s="10" t="s">
        <v>284</v>
      </c>
      <c r="F656" s="11" t="n">
        <v>54</v>
      </c>
      <c r="G656" s="11" t="n">
        <v>5</v>
      </c>
      <c r="H656" s="26" t="n">
        <v>2178.09</v>
      </c>
      <c r="I656" s="26" t="n">
        <f aca="false">H656/G656</f>
        <v>435.618</v>
      </c>
      <c r="J656" s="10" t="s">
        <v>189</v>
      </c>
      <c r="K656" s="10" t="s">
        <v>190</v>
      </c>
    </row>
    <row r="657" customFormat="false" ht="18.75" hidden="false" customHeight="true" outlineLevel="0" collapsed="false">
      <c r="A657" s="15" t="s">
        <v>1318</v>
      </c>
      <c r="B657" s="15" t="s">
        <v>1319</v>
      </c>
      <c r="C657" s="15" t="s">
        <v>149</v>
      </c>
      <c r="D657" s="15" t="s">
        <v>35</v>
      </c>
      <c r="E657" s="15" t="s">
        <v>284</v>
      </c>
      <c r="F657" s="16" t="n">
        <v>56</v>
      </c>
      <c r="G657" s="16" t="n">
        <v>4</v>
      </c>
      <c r="H657" s="29" t="n">
        <v>2165.74</v>
      </c>
      <c r="I657" s="29" t="n">
        <f aca="false">H657/G657</f>
        <v>541.435</v>
      </c>
      <c r="J657" s="15" t="s">
        <v>253</v>
      </c>
      <c r="K657" s="15" t="s">
        <v>254</v>
      </c>
    </row>
    <row r="658" customFormat="false" ht="18.75" hidden="false" customHeight="true" outlineLevel="0" collapsed="false">
      <c r="A658" s="10" t="s">
        <v>1320</v>
      </c>
      <c r="B658" s="10" t="s">
        <v>812</v>
      </c>
      <c r="C658" s="10" t="s">
        <v>184</v>
      </c>
      <c r="D658" s="10" t="s">
        <v>34</v>
      </c>
      <c r="E658" s="10" t="s">
        <v>284</v>
      </c>
      <c r="F658" s="11" t="n">
        <v>12</v>
      </c>
      <c r="G658" s="11" t="n">
        <v>7</v>
      </c>
      <c r="H658" s="26" t="n">
        <v>2162.97</v>
      </c>
      <c r="I658" s="26" t="n">
        <f aca="false">H658/G658</f>
        <v>308.995714285714</v>
      </c>
      <c r="J658" s="10" t="s">
        <v>268</v>
      </c>
      <c r="K658" s="10" t="s">
        <v>269</v>
      </c>
    </row>
    <row r="659" customFormat="false" ht="18.75" hidden="false" customHeight="true" outlineLevel="0" collapsed="false">
      <c r="A659" s="15" t="s">
        <v>1321</v>
      </c>
      <c r="B659" s="15" t="s">
        <v>244</v>
      </c>
      <c r="C659" s="15" t="s">
        <v>207</v>
      </c>
      <c r="D659" s="15" t="s">
        <v>35</v>
      </c>
      <c r="E659" s="15" t="s">
        <v>284</v>
      </c>
      <c r="F659" s="16" t="n">
        <v>73</v>
      </c>
      <c r="G659" s="16" t="n">
        <v>3</v>
      </c>
      <c r="H659" s="29" t="n">
        <v>2159.85</v>
      </c>
      <c r="I659" s="29" t="n">
        <f aca="false">H659/G659</f>
        <v>719.95</v>
      </c>
      <c r="J659" s="15" t="s">
        <v>253</v>
      </c>
      <c r="K659" s="15" t="s">
        <v>254</v>
      </c>
    </row>
    <row r="660" customFormat="false" ht="18.75" hidden="false" customHeight="true" outlineLevel="0" collapsed="false">
      <c r="A660" s="10" t="s">
        <v>1322</v>
      </c>
      <c r="B660" s="10" t="s">
        <v>1323</v>
      </c>
      <c r="C660" s="10" t="s">
        <v>166</v>
      </c>
      <c r="D660" s="10" t="s">
        <v>35</v>
      </c>
      <c r="E660" s="10" t="s">
        <v>284</v>
      </c>
      <c r="F660" s="11" t="n">
        <v>50</v>
      </c>
      <c r="G660" s="11" t="n">
        <v>6</v>
      </c>
      <c r="H660" s="26" t="n">
        <v>2134.16</v>
      </c>
      <c r="I660" s="26" t="n">
        <f aca="false">H660/G660</f>
        <v>355.693333333333</v>
      </c>
      <c r="J660" s="10" t="s">
        <v>189</v>
      </c>
      <c r="K660" s="10" t="s">
        <v>190</v>
      </c>
    </row>
    <row r="661" customFormat="false" ht="18.75" hidden="false" customHeight="true" outlineLevel="0" collapsed="false">
      <c r="A661" s="15" t="s">
        <v>1324</v>
      </c>
      <c r="B661" s="15" t="s">
        <v>406</v>
      </c>
      <c r="C661" s="15" t="s">
        <v>216</v>
      </c>
      <c r="D661" s="15" t="s">
        <v>34</v>
      </c>
      <c r="E661" s="15" t="s">
        <v>284</v>
      </c>
      <c r="F661" s="16" t="n">
        <v>16</v>
      </c>
      <c r="G661" s="16" t="n">
        <v>6</v>
      </c>
      <c r="H661" s="29" t="n">
        <v>2133.65</v>
      </c>
      <c r="I661" s="29" t="n">
        <f aca="false">H661/G661</f>
        <v>355.608333333333</v>
      </c>
      <c r="J661" s="15" t="s">
        <v>268</v>
      </c>
      <c r="K661" s="15" t="s">
        <v>269</v>
      </c>
    </row>
    <row r="662" customFormat="false" ht="18.75" hidden="false" customHeight="true" outlineLevel="0" collapsed="false">
      <c r="A662" s="10" t="s">
        <v>1325</v>
      </c>
      <c r="B662" s="10" t="s">
        <v>1326</v>
      </c>
      <c r="C662" s="10" t="s">
        <v>152</v>
      </c>
      <c r="D662" s="10" t="s">
        <v>35</v>
      </c>
      <c r="E662" s="10" t="s">
        <v>284</v>
      </c>
      <c r="F662" s="11" t="n">
        <v>5</v>
      </c>
      <c r="G662" s="11" t="n">
        <v>6</v>
      </c>
      <c r="H662" s="26" t="n">
        <v>2126.76</v>
      </c>
      <c r="I662" s="26" t="n">
        <f aca="false">H662/G662</f>
        <v>354.46</v>
      </c>
      <c r="J662" s="10" t="s">
        <v>268</v>
      </c>
      <c r="K662" s="10" t="s">
        <v>269</v>
      </c>
    </row>
    <row r="663" customFormat="false" ht="18.75" hidden="false" customHeight="true" outlineLevel="0" collapsed="false">
      <c r="A663" s="15" t="s">
        <v>1327</v>
      </c>
      <c r="B663" s="15" t="s">
        <v>939</v>
      </c>
      <c r="C663" s="15" t="s">
        <v>181</v>
      </c>
      <c r="D663" s="15" t="s">
        <v>36</v>
      </c>
      <c r="E663" s="15" t="s">
        <v>284</v>
      </c>
      <c r="F663" s="16" t="n">
        <v>12</v>
      </c>
      <c r="G663" s="16" t="n">
        <v>3</v>
      </c>
      <c r="H663" s="29" t="n">
        <v>2126.14</v>
      </c>
      <c r="I663" s="29" t="n">
        <f aca="false">H663/G663</f>
        <v>708.713333333333</v>
      </c>
      <c r="J663" s="15" t="s">
        <v>280</v>
      </c>
      <c r="K663" s="15" t="s">
        <v>281</v>
      </c>
    </row>
    <row r="664" customFormat="false" ht="18.75" hidden="false" customHeight="true" outlineLevel="0" collapsed="false">
      <c r="A664" s="10" t="s">
        <v>1328</v>
      </c>
      <c r="B664" s="10" t="s">
        <v>1329</v>
      </c>
      <c r="C664" s="10" t="s">
        <v>160</v>
      </c>
      <c r="D664" s="10" t="s">
        <v>36</v>
      </c>
      <c r="E664" s="10" t="s">
        <v>284</v>
      </c>
      <c r="F664" s="11" t="n">
        <v>10</v>
      </c>
      <c r="G664" s="11" t="n">
        <v>7</v>
      </c>
      <c r="H664" s="26" t="n">
        <v>2125.64</v>
      </c>
      <c r="I664" s="26" t="n">
        <f aca="false">H664/G664</f>
        <v>303.662857142857</v>
      </c>
      <c r="J664" s="10" t="s">
        <v>268</v>
      </c>
      <c r="K664" s="10" t="s">
        <v>269</v>
      </c>
    </row>
    <row r="665" customFormat="false" ht="18.75" hidden="false" customHeight="true" outlineLevel="0" collapsed="false">
      <c r="A665" s="15" t="s">
        <v>1330</v>
      </c>
      <c r="B665" s="15" t="s">
        <v>1331</v>
      </c>
      <c r="C665" s="15" t="s">
        <v>226</v>
      </c>
      <c r="D665" s="15" t="s">
        <v>36</v>
      </c>
      <c r="E665" s="15" t="s">
        <v>284</v>
      </c>
      <c r="F665" s="16" t="n">
        <v>7</v>
      </c>
      <c r="G665" s="16" t="n">
        <v>7</v>
      </c>
      <c r="H665" s="29" t="n">
        <v>2108.85</v>
      </c>
      <c r="I665" s="29" t="n">
        <f aca="false">H665/G665</f>
        <v>301.264285714286</v>
      </c>
      <c r="J665" s="15" t="s">
        <v>268</v>
      </c>
      <c r="K665" s="15" t="s">
        <v>269</v>
      </c>
    </row>
    <row r="666" customFormat="false" ht="18.75" hidden="false" customHeight="true" outlineLevel="0" collapsed="false">
      <c r="A666" s="10" t="s">
        <v>1332</v>
      </c>
      <c r="B666" s="10" t="s">
        <v>840</v>
      </c>
      <c r="C666" s="10" t="s">
        <v>184</v>
      </c>
      <c r="D666" s="10" t="s">
        <v>34</v>
      </c>
      <c r="E666" s="10" t="s">
        <v>284</v>
      </c>
      <c r="F666" s="11" t="n">
        <v>52</v>
      </c>
      <c r="G666" s="11" t="n">
        <v>4</v>
      </c>
      <c r="H666" s="26" t="n">
        <v>2097.55</v>
      </c>
      <c r="I666" s="26" t="n">
        <f aca="false">H666/G666</f>
        <v>524.3875</v>
      </c>
      <c r="J666" s="10" t="s">
        <v>253</v>
      </c>
      <c r="K666" s="10" t="s">
        <v>254</v>
      </c>
    </row>
    <row r="667" customFormat="false" ht="18.75" hidden="false" customHeight="true" outlineLevel="0" collapsed="false">
      <c r="A667" s="15" t="s">
        <v>1333</v>
      </c>
      <c r="B667" s="15" t="s">
        <v>1065</v>
      </c>
      <c r="C667" s="15" t="s">
        <v>226</v>
      </c>
      <c r="D667" s="15" t="s">
        <v>36</v>
      </c>
      <c r="E667" s="15" t="s">
        <v>284</v>
      </c>
      <c r="F667" s="16" t="n">
        <v>10</v>
      </c>
      <c r="G667" s="16" t="n">
        <v>5</v>
      </c>
      <c r="H667" s="29" t="n">
        <v>2093.05</v>
      </c>
      <c r="I667" s="29" t="n">
        <f aca="false">H667/G667</f>
        <v>418.61</v>
      </c>
      <c r="J667" s="15" t="s">
        <v>268</v>
      </c>
      <c r="K667" s="15" t="s">
        <v>269</v>
      </c>
    </row>
    <row r="668" customFormat="false" ht="18.75" hidden="false" customHeight="true" outlineLevel="0" collapsed="false">
      <c r="A668" s="10" t="s">
        <v>1334</v>
      </c>
      <c r="B668" s="10" t="s">
        <v>1335</v>
      </c>
      <c r="C668" s="10" t="s">
        <v>140</v>
      </c>
      <c r="D668" s="10" t="s">
        <v>35</v>
      </c>
      <c r="E668" s="10" t="s">
        <v>284</v>
      </c>
      <c r="F668" s="11" t="n">
        <v>18</v>
      </c>
      <c r="G668" s="11" t="n">
        <v>5</v>
      </c>
      <c r="H668" s="26" t="n">
        <v>2092.39</v>
      </c>
      <c r="I668" s="26" t="n">
        <f aca="false">H668/G668</f>
        <v>418.478</v>
      </c>
      <c r="J668" s="10" t="s">
        <v>268</v>
      </c>
      <c r="K668" s="10" t="s">
        <v>269</v>
      </c>
    </row>
    <row r="669" customFormat="false" ht="18.75" hidden="false" customHeight="true" outlineLevel="0" collapsed="false">
      <c r="A669" s="15" t="s">
        <v>1336</v>
      </c>
      <c r="B669" s="15" t="s">
        <v>1337</v>
      </c>
      <c r="C669" s="15" t="s">
        <v>226</v>
      </c>
      <c r="D669" s="15" t="s">
        <v>36</v>
      </c>
      <c r="E669" s="15" t="s">
        <v>384</v>
      </c>
      <c r="F669" s="16" t="n">
        <v>65</v>
      </c>
      <c r="G669" s="16" t="n">
        <v>4</v>
      </c>
      <c r="H669" s="29" t="n">
        <v>2089.3</v>
      </c>
      <c r="I669" s="29" t="n">
        <f aca="false">H669/G669</f>
        <v>522.325</v>
      </c>
      <c r="J669" s="15" t="s">
        <v>253</v>
      </c>
      <c r="K669" s="15" t="s">
        <v>254</v>
      </c>
    </row>
    <row r="670" customFormat="false" ht="18.75" hidden="false" customHeight="true" outlineLevel="0" collapsed="false">
      <c r="A670" s="10" t="s">
        <v>1338</v>
      </c>
      <c r="B670" s="10" t="s">
        <v>1339</v>
      </c>
      <c r="C670" s="10" t="s">
        <v>146</v>
      </c>
      <c r="D670" s="10" t="s">
        <v>34</v>
      </c>
      <c r="E670" s="10" t="s">
        <v>284</v>
      </c>
      <c r="F670" s="11" t="n">
        <v>13</v>
      </c>
      <c r="G670" s="11" t="n">
        <v>4</v>
      </c>
      <c r="H670" s="26" t="n">
        <v>2072.34</v>
      </c>
      <c r="I670" s="26" t="n">
        <f aca="false">H670/G670</f>
        <v>518.085</v>
      </c>
      <c r="J670" s="10" t="s">
        <v>280</v>
      </c>
      <c r="K670" s="10" t="s">
        <v>281</v>
      </c>
    </row>
    <row r="671" customFormat="false" ht="18.75" hidden="false" customHeight="true" outlineLevel="0" collapsed="false">
      <c r="A671" s="15" t="s">
        <v>1340</v>
      </c>
      <c r="B671" s="15" t="s">
        <v>1341</v>
      </c>
      <c r="C671" s="15" t="s">
        <v>226</v>
      </c>
      <c r="D671" s="15" t="s">
        <v>36</v>
      </c>
      <c r="E671" s="15" t="s">
        <v>284</v>
      </c>
      <c r="F671" s="16" t="n">
        <v>6</v>
      </c>
      <c r="G671" s="16" t="n">
        <v>9</v>
      </c>
      <c r="H671" s="29" t="n">
        <v>2067.24</v>
      </c>
      <c r="I671" s="29" t="n">
        <f aca="false">H671/G671</f>
        <v>229.693333333333</v>
      </c>
      <c r="J671" s="15" t="s">
        <v>268</v>
      </c>
      <c r="K671" s="15" t="s">
        <v>269</v>
      </c>
    </row>
    <row r="672" customFormat="false" ht="18.75" hidden="false" customHeight="true" outlineLevel="0" collapsed="false">
      <c r="A672" s="10" t="s">
        <v>1342</v>
      </c>
      <c r="B672" s="10" t="s">
        <v>1343</v>
      </c>
      <c r="C672" s="10" t="s">
        <v>140</v>
      </c>
      <c r="D672" s="10" t="s">
        <v>35</v>
      </c>
      <c r="E672" s="10" t="s">
        <v>284</v>
      </c>
      <c r="F672" s="11" t="n">
        <v>58</v>
      </c>
      <c r="G672" s="11" t="n">
        <v>5</v>
      </c>
      <c r="H672" s="26" t="n">
        <v>2064.94</v>
      </c>
      <c r="I672" s="26" t="n">
        <f aca="false">H672/G672</f>
        <v>412.988</v>
      </c>
      <c r="J672" s="10" t="s">
        <v>189</v>
      </c>
      <c r="K672" s="10" t="s">
        <v>190</v>
      </c>
    </row>
    <row r="673" customFormat="false" ht="18.75" hidden="false" customHeight="true" outlineLevel="0" collapsed="false">
      <c r="A673" s="15" t="s">
        <v>1344</v>
      </c>
      <c r="B673" s="15" t="s">
        <v>1136</v>
      </c>
      <c r="C673" s="15" t="s">
        <v>207</v>
      </c>
      <c r="D673" s="15" t="s">
        <v>35</v>
      </c>
      <c r="E673" s="15" t="s">
        <v>284</v>
      </c>
      <c r="F673" s="16" t="n">
        <v>61</v>
      </c>
      <c r="G673" s="16" t="n">
        <v>2</v>
      </c>
      <c r="H673" s="29" t="n">
        <v>2058.55</v>
      </c>
      <c r="I673" s="29" t="n">
        <f aca="false">H673/G673</f>
        <v>1029.275</v>
      </c>
      <c r="J673" s="15" t="s">
        <v>253</v>
      </c>
      <c r="K673" s="15" t="s">
        <v>254</v>
      </c>
    </row>
    <row r="674" customFormat="false" ht="18.75" hidden="false" customHeight="true" outlineLevel="0" collapsed="false">
      <c r="A674" s="10" t="s">
        <v>1345</v>
      </c>
      <c r="B674" s="10" t="s">
        <v>416</v>
      </c>
      <c r="C674" s="10" t="s">
        <v>219</v>
      </c>
      <c r="D674" s="10" t="s">
        <v>35</v>
      </c>
      <c r="E674" s="10" t="s">
        <v>284</v>
      </c>
      <c r="F674" s="11" t="n">
        <v>31</v>
      </c>
      <c r="G674" s="11" t="n">
        <v>5</v>
      </c>
      <c r="H674" s="26" t="n">
        <v>2045.55</v>
      </c>
      <c r="I674" s="26" t="n">
        <f aca="false">H674/G674</f>
        <v>409.11</v>
      </c>
      <c r="J674" s="10" t="s">
        <v>268</v>
      </c>
      <c r="K674" s="10" t="s">
        <v>269</v>
      </c>
    </row>
    <row r="675" customFormat="false" ht="18.75" hidden="false" customHeight="true" outlineLevel="0" collapsed="false">
      <c r="A675" s="15" t="s">
        <v>1346</v>
      </c>
      <c r="B675" s="15" t="s">
        <v>258</v>
      </c>
      <c r="C675" s="15" t="s">
        <v>146</v>
      </c>
      <c r="D675" s="15" t="s">
        <v>34</v>
      </c>
      <c r="E675" s="15" t="s">
        <v>284</v>
      </c>
      <c r="F675" s="16" t="n">
        <v>32</v>
      </c>
      <c r="G675" s="16" t="n">
        <v>9</v>
      </c>
      <c r="H675" s="29" t="n">
        <v>2040.89</v>
      </c>
      <c r="I675" s="29" t="n">
        <f aca="false">H675/G675</f>
        <v>226.765555555556</v>
      </c>
      <c r="J675" s="15" t="s">
        <v>268</v>
      </c>
      <c r="K675" s="15" t="s">
        <v>269</v>
      </c>
    </row>
    <row r="676" customFormat="false" ht="18.75" hidden="false" customHeight="true" outlineLevel="0" collapsed="false">
      <c r="A676" s="10" t="s">
        <v>1347</v>
      </c>
      <c r="B676" s="10" t="s">
        <v>1348</v>
      </c>
      <c r="C676" s="10" t="s">
        <v>155</v>
      </c>
      <c r="D676" s="10" t="s">
        <v>34</v>
      </c>
      <c r="E676" s="10" t="s">
        <v>284</v>
      </c>
      <c r="F676" s="11" t="n">
        <v>61</v>
      </c>
      <c r="G676" s="11" t="n">
        <v>4</v>
      </c>
      <c r="H676" s="26" t="n">
        <v>2040.18</v>
      </c>
      <c r="I676" s="26" t="n">
        <f aca="false">H676/G676</f>
        <v>510.045</v>
      </c>
      <c r="J676" s="10" t="s">
        <v>253</v>
      </c>
      <c r="K676" s="10" t="s">
        <v>254</v>
      </c>
    </row>
    <row r="677" customFormat="false" ht="18.75" hidden="false" customHeight="true" outlineLevel="0" collapsed="false">
      <c r="A677" s="15" t="s">
        <v>1349</v>
      </c>
      <c r="B677" s="15" t="s">
        <v>936</v>
      </c>
      <c r="C677" s="15" t="s">
        <v>184</v>
      </c>
      <c r="D677" s="15" t="s">
        <v>34</v>
      </c>
      <c r="E677" s="15" t="s">
        <v>284</v>
      </c>
      <c r="F677" s="16" t="n">
        <v>26</v>
      </c>
      <c r="G677" s="16" t="n">
        <v>7</v>
      </c>
      <c r="H677" s="29" t="n">
        <v>2037.23</v>
      </c>
      <c r="I677" s="29" t="n">
        <f aca="false">H677/G677</f>
        <v>291.032857142857</v>
      </c>
      <c r="J677" s="15" t="s">
        <v>268</v>
      </c>
      <c r="K677" s="15" t="s">
        <v>269</v>
      </c>
    </row>
    <row r="678" customFormat="false" ht="18.75" hidden="false" customHeight="true" outlineLevel="0" collapsed="false">
      <c r="A678" s="10" t="s">
        <v>1350</v>
      </c>
      <c r="B678" s="10" t="s">
        <v>1042</v>
      </c>
      <c r="C678" s="10" t="s">
        <v>181</v>
      </c>
      <c r="D678" s="10" t="s">
        <v>36</v>
      </c>
      <c r="E678" s="10" t="s">
        <v>284</v>
      </c>
      <c r="F678" s="11" t="n">
        <v>23</v>
      </c>
      <c r="G678" s="11" t="n">
        <v>4</v>
      </c>
      <c r="H678" s="26" t="n">
        <v>2032.68</v>
      </c>
      <c r="I678" s="26" t="n">
        <f aca="false">H678/G678</f>
        <v>508.17</v>
      </c>
      <c r="J678" s="10" t="s">
        <v>280</v>
      </c>
      <c r="K678" s="10" t="s">
        <v>281</v>
      </c>
    </row>
    <row r="679" customFormat="false" ht="18.75" hidden="false" customHeight="true" outlineLevel="0" collapsed="false">
      <c r="A679" s="15" t="s">
        <v>1351</v>
      </c>
      <c r="B679" s="15" t="s">
        <v>1186</v>
      </c>
      <c r="C679" s="15" t="s">
        <v>219</v>
      </c>
      <c r="D679" s="15" t="s">
        <v>35</v>
      </c>
      <c r="E679" s="15" t="s">
        <v>284</v>
      </c>
      <c r="F679" s="16" t="n">
        <v>79</v>
      </c>
      <c r="G679" s="16" t="n">
        <v>4</v>
      </c>
      <c r="H679" s="29" t="n">
        <v>2032.05</v>
      </c>
      <c r="I679" s="29" t="n">
        <f aca="false">H679/G679</f>
        <v>508.0125</v>
      </c>
      <c r="J679" s="15" t="s">
        <v>253</v>
      </c>
      <c r="K679" s="15" t="s">
        <v>254</v>
      </c>
    </row>
    <row r="680" customFormat="false" ht="18.75" hidden="false" customHeight="true" outlineLevel="0" collapsed="false">
      <c r="A680" s="10" t="s">
        <v>1352</v>
      </c>
      <c r="B680" s="10" t="s">
        <v>1353</v>
      </c>
      <c r="C680" s="10" t="s">
        <v>216</v>
      </c>
      <c r="D680" s="10" t="s">
        <v>34</v>
      </c>
      <c r="E680" s="10" t="s">
        <v>284</v>
      </c>
      <c r="F680" s="11" t="n">
        <v>14</v>
      </c>
      <c r="G680" s="11" t="n">
        <v>5</v>
      </c>
      <c r="H680" s="26" t="n">
        <v>2023.78</v>
      </c>
      <c r="I680" s="26" t="n">
        <f aca="false">H680/G680</f>
        <v>404.756</v>
      </c>
      <c r="J680" s="10" t="s">
        <v>268</v>
      </c>
      <c r="K680" s="10" t="s">
        <v>269</v>
      </c>
    </row>
    <row r="681" customFormat="false" ht="18.75" hidden="false" customHeight="true" outlineLevel="0" collapsed="false">
      <c r="A681" s="15" t="s">
        <v>1354</v>
      </c>
      <c r="B681" s="15" t="s">
        <v>610</v>
      </c>
      <c r="C681" s="15" t="s">
        <v>163</v>
      </c>
      <c r="D681" s="15" t="s">
        <v>36</v>
      </c>
      <c r="E681" s="15" t="s">
        <v>284</v>
      </c>
      <c r="F681" s="16" t="n">
        <v>23</v>
      </c>
      <c r="G681" s="16" t="n">
        <v>9</v>
      </c>
      <c r="H681" s="29" t="n">
        <v>2022.4</v>
      </c>
      <c r="I681" s="29" t="n">
        <f aca="false">H681/G681</f>
        <v>224.711111111111</v>
      </c>
      <c r="J681" s="15" t="s">
        <v>268</v>
      </c>
      <c r="K681" s="15" t="s">
        <v>269</v>
      </c>
    </row>
    <row r="682" customFormat="false" ht="18.75" hidden="false" customHeight="true" outlineLevel="0" collapsed="false">
      <c r="A682" s="10" t="s">
        <v>1355</v>
      </c>
      <c r="B682" s="10" t="s">
        <v>1356</v>
      </c>
      <c r="C682" s="10" t="s">
        <v>226</v>
      </c>
      <c r="D682" s="10" t="s">
        <v>36</v>
      </c>
      <c r="E682" s="10" t="s">
        <v>284</v>
      </c>
      <c r="F682" s="11" t="n">
        <v>27</v>
      </c>
      <c r="G682" s="11" t="n">
        <v>5</v>
      </c>
      <c r="H682" s="26" t="n">
        <v>1995.45</v>
      </c>
      <c r="I682" s="26" t="n">
        <f aca="false">H682/G682</f>
        <v>399.09</v>
      </c>
      <c r="J682" s="10" t="s">
        <v>268</v>
      </c>
      <c r="K682" s="10" t="s">
        <v>269</v>
      </c>
    </row>
    <row r="683" customFormat="false" ht="18.75" hidden="false" customHeight="true" outlineLevel="0" collapsed="false">
      <c r="A683" s="15" t="s">
        <v>1357</v>
      </c>
      <c r="B683" s="15" t="s">
        <v>1358</v>
      </c>
      <c r="C683" s="15" t="s">
        <v>207</v>
      </c>
      <c r="D683" s="15" t="s">
        <v>35</v>
      </c>
      <c r="E683" s="15" t="s">
        <v>284</v>
      </c>
      <c r="F683" s="16" t="n">
        <v>93</v>
      </c>
      <c r="G683" s="16" t="n">
        <v>4</v>
      </c>
      <c r="H683" s="29" t="n">
        <v>1994.32</v>
      </c>
      <c r="I683" s="29" t="n">
        <f aca="false">H683/G683</f>
        <v>498.58</v>
      </c>
      <c r="J683" s="15" t="s">
        <v>253</v>
      </c>
      <c r="K683" s="15" t="s">
        <v>254</v>
      </c>
    </row>
    <row r="684" customFormat="false" ht="18.75" hidden="false" customHeight="true" outlineLevel="0" collapsed="false">
      <c r="A684" s="10" t="s">
        <v>1359</v>
      </c>
      <c r="B684" s="10" t="s">
        <v>1360</v>
      </c>
      <c r="C684" s="10" t="s">
        <v>181</v>
      </c>
      <c r="D684" s="10" t="s">
        <v>36</v>
      </c>
      <c r="E684" s="10" t="s">
        <v>284</v>
      </c>
      <c r="F684" s="11" t="n">
        <v>58</v>
      </c>
      <c r="G684" s="11" t="n">
        <v>3</v>
      </c>
      <c r="H684" s="26" t="n">
        <v>1994.32</v>
      </c>
      <c r="I684" s="26" t="n">
        <f aca="false">H684/G684</f>
        <v>664.773333333333</v>
      </c>
      <c r="J684" s="10" t="s">
        <v>253</v>
      </c>
      <c r="K684" s="10" t="s">
        <v>254</v>
      </c>
    </row>
    <row r="685" customFormat="false" ht="18.75" hidden="false" customHeight="true" outlineLevel="0" collapsed="false">
      <c r="A685" s="15" t="s">
        <v>1361</v>
      </c>
      <c r="B685" s="15" t="s">
        <v>1128</v>
      </c>
      <c r="C685" s="15" t="s">
        <v>184</v>
      </c>
      <c r="D685" s="15" t="s">
        <v>34</v>
      </c>
      <c r="E685" s="15" t="s">
        <v>284</v>
      </c>
      <c r="F685" s="16" t="n">
        <v>6</v>
      </c>
      <c r="G685" s="16" t="n">
        <v>3</v>
      </c>
      <c r="H685" s="29" t="n">
        <v>1980.69</v>
      </c>
      <c r="I685" s="29" t="n">
        <f aca="false">H685/G685</f>
        <v>660.23</v>
      </c>
      <c r="J685" s="15" t="s">
        <v>280</v>
      </c>
      <c r="K685" s="15" t="s">
        <v>281</v>
      </c>
    </row>
    <row r="686" customFormat="false" ht="18.75" hidden="false" customHeight="true" outlineLevel="0" collapsed="false">
      <c r="A686" s="10" t="s">
        <v>1362</v>
      </c>
      <c r="B686" s="10" t="s">
        <v>1363</v>
      </c>
      <c r="C686" s="10" t="s">
        <v>160</v>
      </c>
      <c r="D686" s="10" t="s">
        <v>36</v>
      </c>
      <c r="E686" s="10" t="s">
        <v>284</v>
      </c>
      <c r="F686" s="11" t="n">
        <v>1</v>
      </c>
      <c r="G686" s="11" t="n">
        <v>4</v>
      </c>
      <c r="H686" s="26" t="n">
        <v>1979.45</v>
      </c>
      <c r="I686" s="26" t="n">
        <f aca="false">H686/G686</f>
        <v>494.8625</v>
      </c>
      <c r="J686" s="10" t="s">
        <v>280</v>
      </c>
      <c r="K686" s="10" t="s">
        <v>281</v>
      </c>
    </row>
    <row r="687" customFormat="false" ht="18.75" hidden="false" customHeight="true" outlineLevel="0" collapsed="false">
      <c r="A687" s="15" t="s">
        <v>1364</v>
      </c>
      <c r="B687" s="15" t="s">
        <v>565</v>
      </c>
      <c r="C687" s="15" t="s">
        <v>219</v>
      </c>
      <c r="D687" s="15" t="s">
        <v>35</v>
      </c>
      <c r="E687" s="15" t="s">
        <v>284</v>
      </c>
      <c r="F687" s="16" t="n">
        <v>12</v>
      </c>
      <c r="G687" s="16" t="n">
        <v>6</v>
      </c>
      <c r="H687" s="29" t="n">
        <v>1975.7</v>
      </c>
      <c r="I687" s="29" t="n">
        <f aca="false">H687/G687</f>
        <v>329.283333333333</v>
      </c>
      <c r="J687" s="15" t="s">
        <v>268</v>
      </c>
      <c r="K687" s="15" t="s">
        <v>269</v>
      </c>
    </row>
    <row r="688" customFormat="false" ht="18.75" hidden="false" customHeight="true" outlineLevel="0" collapsed="false">
      <c r="A688" s="10" t="s">
        <v>1365</v>
      </c>
      <c r="B688" s="10" t="s">
        <v>1366</v>
      </c>
      <c r="C688" s="10" t="s">
        <v>226</v>
      </c>
      <c r="D688" s="10" t="s">
        <v>36</v>
      </c>
      <c r="E688" s="10" t="s">
        <v>284</v>
      </c>
      <c r="F688" s="11" t="n">
        <v>32</v>
      </c>
      <c r="G688" s="11" t="n">
        <v>2</v>
      </c>
      <c r="H688" s="26" t="n">
        <v>1964.95</v>
      </c>
      <c r="I688" s="26" t="n">
        <f aca="false">H688/G688</f>
        <v>982.475</v>
      </c>
      <c r="J688" s="10" t="s">
        <v>280</v>
      </c>
      <c r="K688" s="10" t="s">
        <v>281</v>
      </c>
    </row>
    <row r="689" customFormat="false" ht="18.75" hidden="false" customHeight="true" outlineLevel="0" collapsed="false">
      <c r="A689" s="15" t="s">
        <v>1367</v>
      </c>
      <c r="B689" s="15" t="s">
        <v>1016</v>
      </c>
      <c r="C689" s="15" t="s">
        <v>226</v>
      </c>
      <c r="D689" s="15" t="s">
        <v>36</v>
      </c>
      <c r="E689" s="15" t="s">
        <v>284</v>
      </c>
      <c r="F689" s="16" t="n">
        <v>89</v>
      </c>
      <c r="G689" s="16" t="n">
        <v>4</v>
      </c>
      <c r="H689" s="29" t="n">
        <v>1962.75</v>
      </c>
      <c r="I689" s="29" t="n">
        <f aca="false">H689/G689</f>
        <v>490.6875</v>
      </c>
      <c r="J689" s="15" t="s">
        <v>253</v>
      </c>
      <c r="K689" s="15" t="s">
        <v>254</v>
      </c>
    </row>
    <row r="690" customFormat="false" ht="18.75" hidden="false" customHeight="true" outlineLevel="0" collapsed="false">
      <c r="A690" s="10" t="s">
        <v>1368</v>
      </c>
      <c r="B690" s="10" t="s">
        <v>1369</v>
      </c>
      <c r="C690" s="10" t="s">
        <v>199</v>
      </c>
      <c r="D690" s="10" t="s">
        <v>36</v>
      </c>
      <c r="E690" s="10" t="s">
        <v>284</v>
      </c>
      <c r="F690" s="11" t="n">
        <v>89</v>
      </c>
      <c r="G690" s="11" t="n">
        <v>5</v>
      </c>
      <c r="H690" s="26" t="n">
        <v>1958.12</v>
      </c>
      <c r="I690" s="26" t="n">
        <f aca="false">H690/G690</f>
        <v>391.624</v>
      </c>
      <c r="J690" s="10" t="s">
        <v>189</v>
      </c>
      <c r="K690" s="10" t="s">
        <v>190</v>
      </c>
    </row>
    <row r="691" customFormat="false" ht="18.75" hidden="false" customHeight="true" outlineLevel="0" collapsed="false">
      <c r="A691" s="15" t="s">
        <v>1370</v>
      </c>
      <c r="B691" s="15" t="s">
        <v>464</v>
      </c>
      <c r="C691" s="15" t="s">
        <v>140</v>
      </c>
      <c r="D691" s="15" t="s">
        <v>35</v>
      </c>
      <c r="E691" s="15" t="s">
        <v>284</v>
      </c>
      <c r="F691" s="16" t="n">
        <v>170</v>
      </c>
      <c r="G691" s="16" t="n">
        <v>7</v>
      </c>
      <c r="H691" s="29" t="n">
        <v>1956</v>
      </c>
      <c r="I691" s="29" t="n">
        <f aca="false">H691/G691</f>
        <v>279.428571428571</v>
      </c>
      <c r="J691" s="15" t="s">
        <v>268</v>
      </c>
      <c r="K691" s="15" t="s">
        <v>269</v>
      </c>
    </row>
    <row r="692" customFormat="false" ht="18.75" hidden="false" customHeight="true" outlineLevel="0" collapsed="false">
      <c r="A692" s="10" t="s">
        <v>1371</v>
      </c>
      <c r="B692" s="10" t="s">
        <v>1372</v>
      </c>
      <c r="C692" s="10" t="s">
        <v>149</v>
      </c>
      <c r="D692" s="10" t="s">
        <v>35</v>
      </c>
      <c r="E692" s="10" t="s">
        <v>284</v>
      </c>
      <c r="F692" s="11" t="n">
        <v>33</v>
      </c>
      <c r="G692" s="11" t="n">
        <v>5</v>
      </c>
      <c r="H692" s="26" t="n">
        <v>1953.99</v>
      </c>
      <c r="I692" s="26" t="n">
        <f aca="false">H692/G692</f>
        <v>390.798</v>
      </c>
      <c r="J692" s="10" t="s">
        <v>268</v>
      </c>
      <c r="K692" s="10" t="s">
        <v>269</v>
      </c>
    </row>
    <row r="693" customFormat="false" ht="18.75" hidden="false" customHeight="true" outlineLevel="0" collapsed="false">
      <c r="A693" s="15" t="s">
        <v>1373</v>
      </c>
      <c r="B693" s="15" t="s">
        <v>504</v>
      </c>
      <c r="C693" s="15" t="s">
        <v>199</v>
      </c>
      <c r="D693" s="15" t="s">
        <v>36</v>
      </c>
      <c r="E693" s="15" t="s">
        <v>284</v>
      </c>
      <c r="F693" s="16" t="n">
        <v>8</v>
      </c>
      <c r="G693" s="16" t="n">
        <v>4</v>
      </c>
      <c r="H693" s="29" t="n">
        <v>1948.3</v>
      </c>
      <c r="I693" s="29" t="n">
        <f aca="false">H693/G693</f>
        <v>487.075</v>
      </c>
      <c r="J693" s="15" t="s">
        <v>280</v>
      </c>
      <c r="K693" s="15" t="s">
        <v>281</v>
      </c>
    </row>
    <row r="694" customFormat="false" ht="18.75" hidden="false" customHeight="true" outlineLevel="0" collapsed="false">
      <c r="A694" s="10" t="s">
        <v>1374</v>
      </c>
      <c r="B694" s="10" t="s">
        <v>1375</v>
      </c>
      <c r="C694" s="10" t="s">
        <v>163</v>
      </c>
      <c r="D694" s="10" t="s">
        <v>36</v>
      </c>
      <c r="E694" s="10" t="s">
        <v>284</v>
      </c>
      <c r="F694" s="11" t="n">
        <v>36</v>
      </c>
      <c r="G694" s="11" t="n">
        <v>4</v>
      </c>
      <c r="H694" s="26" t="n">
        <v>1940.38</v>
      </c>
      <c r="I694" s="26" t="n">
        <f aca="false">H694/G694</f>
        <v>485.095</v>
      </c>
      <c r="J694" s="10" t="s">
        <v>280</v>
      </c>
      <c r="K694" s="10" t="s">
        <v>281</v>
      </c>
    </row>
    <row r="695" customFormat="false" ht="18.75" hidden="false" customHeight="true" outlineLevel="0" collapsed="false">
      <c r="A695" s="15" t="s">
        <v>1376</v>
      </c>
      <c r="B695" s="15" t="s">
        <v>1377</v>
      </c>
      <c r="C695" s="15" t="s">
        <v>149</v>
      </c>
      <c r="D695" s="15" t="s">
        <v>35</v>
      </c>
      <c r="E695" s="15" t="s">
        <v>284</v>
      </c>
      <c r="F695" s="16" t="n">
        <v>355</v>
      </c>
      <c r="G695" s="16" t="n">
        <v>1</v>
      </c>
      <c r="H695" s="29" t="n">
        <v>1935.7</v>
      </c>
      <c r="I695" s="29" t="n">
        <f aca="false">H695/G695</f>
        <v>1935.7</v>
      </c>
      <c r="J695" s="15" t="s">
        <v>253</v>
      </c>
      <c r="K695" s="15" t="s">
        <v>254</v>
      </c>
    </row>
    <row r="696" customFormat="false" ht="18.75" hidden="false" customHeight="true" outlineLevel="0" collapsed="false">
      <c r="A696" s="10" t="s">
        <v>1378</v>
      </c>
      <c r="B696" s="10" t="s">
        <v>213</v>
      </c>
      <c r="C696" s="10" t="s">
        <v>184</v>
      </c>
      <c r="D696" s="10" t="s">
        <v>34</v>
      </c>
      <c r="E696" s="10" t="s">
        <v>384</v>
      </c>
      <c r="F696" s="11" t="n">
        <v>60</v>
      </c>
      <c r="G696" s="11" t="n">
        <v>5</v>
      </c>
      <c r="H696" s="26" t="n">
        <v>1921.63</v>
      </c>
      <c r="I696" s="26" t="n">
        <f aca="false">H696/G696</f>
        <v>384.326</v>
      </c>
      <c r="J696" s="10" t="s">
        <v>189</v>
      </c>
      <c r="K696" s="10" t="s">
        <v>190</v>
      </c>
    </row>
    <row r="697" customFormat="false" ht="18.75" hidden="false" customHeight="true" outlineLevel="0" collapsed="false">
      <c r="A697" s="15" t="s">
        <v>1379</v>
      </c>
      <c r="B697" s="15" t="s">
        <v>418</v>
      </c>
      <c r="C697" s="15" t="s">
        <v>199</v>
      </c>
      <c r="D697" s="15" t="s">
        <v>36</v>
      </c>
      <c r="E697" s="15" t="s">
        <v>284</v>
      </c>
      <c r="F697" s="16" t="n">
        <v>110</v>
      </c>
      <c r="G697" s="16" t="n">
        <v>1</v>
      </c>
      <c r="H697" s="29" t="n">
        <v>1915.68</v>
      </c>
      <c r="I697" s="29" t="n">
        <f aca="false">H697/G697</f>
        <v>1915.68</v>
      </c>
      <c r="J697" s="15" t="s">
        <v>253</v>
      </c>
      <c r="K697" s="15" t="s">
        <v>254</v>
      </c>
    </row>
    <row r="698" customFormat="false" ht="18.75" hidden="false" customHeight="true" outlineLevel="0" collapsed="false">
      <c r="A698" s="10" t="s">
        <v>1380</v>
      </c>
      <c r="B698" s="10" t="s">
        <v>1381</v>
      </c>
      <c r="C698" s="10" t="s">
        <v>184</v>
      </c>
      <c r="D698" s="10" t="s">
        <v>34</v>
      </c>
      <c r="E698" s="10" t="s">
        <v>284</v>
      </c>
      <c r="F698" s="11" t="n">
        <v>20</v>
      </c>
      <c r="G698" s="11" t="n">
        <v>5</v>
      </c>
      <c r="H698" s="26" t="n">
        <v>1908.87</v>
      </c>
      <c r="I698" s="26" t="n">
        <f aca="false">H698/G698</f>
        <v>381.774</v>
      </c>
      <c r="J698" s="10" t="s">
        <v>268</v>
      </c>
      <c r="K698" s="10" t="s">
        <v>269</v>
      </c>
    </row>
    <row r="699" customFormat="false" ht="18.75" hidden="false" customHeight="true" outlineLevel="0" collapsed="false">
      <c r="A699" s="15" t="s">
        <v>1382</v>
      </c>
      <c r="B699" s="15" t="s">
        <v>1383</v>
      </c>
      <c r="C699" s="15" t="s">
        <v>184</v>
      </c>
      <c r="D699" s="15" t="s">
        <v>34</v>
      </c>
      <c r="E699" s="15" t="s">
        <v>284</v>
      </c>
      <c r="F699" s="16" t="n">
        <v>66</v>
      </c>
      <c r="G699" s="16" t="n">
        <v>5</v>
      </c>
      <c r="H699" s="29" t="n">
        <v>1902.8</v>
      </c>
      <c r="I699" s="29" t="n">
        <f aca="false">H699/G699</f>
        <v>380.56</v>
      </c>
      <c r="J699" s="15" t="s">
        <v>189</v>
      </c>
      <c r="K699" s="15" t="s">
        <v>190</v>
      </c>
    </row>
    <row r="700" customFormat="false" ht="18.75" hidden="false" customHeight="true" outlineLevel="0" collapsed="false">
      <c r="A700" s="10" t="s">
        <v>1384</v>
      </c>
      <c r="B700" s="10" t="s">
        <v>1385</v>
      </c>
      <c r="C700" s="10" t="s">
        <v>149</v>
      </c>
      <c r="D700" s="10" t="s">
        <v>35</v>
      </c>
      <c r="E700" s="10" t="s">
        <v>284</v>
      </c>
      <c r="F700" s="11" t="n">
        <v>3</v>
      </c>
      <c r="G700" s="11" t="n">
        <v>5</v>
      </c>
      <c r="H700" s="26" t="n">
        <v>1878.42</v>
      </c>
      <c r="I700" s="26" t="n">
        <f aca="false">H700/G700</f>
        <v>375.684</v>
      </c>
      <c r="J700" s="10" t="s">
        <v>268</v>
      </c>
      <c r="K700" s="10" t="s">
        <v>269</v>
      </c>
    </row>
    <row r="701" customFormat="false" ht="18.75" hidden="false" customHeight="true" outlineLevel="0" collapsed="false">
      <c r="A701" s="15" t="s">
        <v>1386</v>
      </c>
      <c r="B701" s="15" t="s">
        <v>338</v>
      </c>
      <c r="C701" s="15" t="s">
        <v>207</v>
      </c>
      <c r="D701" s="15" t="s">
        <v>35</v>
      </c>
      <c r="E701" s="15" t="s">
        <v>284</v>
      </c>
      <c r="F701" s="16" t="n">
        <v>10</v>
      </c>
      <c r="G701" s="16" t="n">
        <v>5</v>
      </c>
      <c r="H701" s="29" t="n">
        <v>1877.3</v>
      </c>
      <c r="I701" s="29" t="n">
        <f aca="false">H701/G701</f>
        <v>375.46</v>
      </c>
      <c r="J701" s="15" t="s">
        <v>268</v>
      </c>
      <c r="K701" s="15" t="s">
        <v>269</v>
      </c>
    </row>
    <row r="702" customFormat="false" ht="18.75" hidden="false" customHeight="true" outlineLevel="0" collapsed="false">
      <c r="A702" s="10" t="s">
        <v>1387</v>
      </c>
      <c r="B702" s="10" t="s">
        <v>719</v>
      </c>
      <c r="C702" s="10" t="s">
        <v>166</v>
      </c>
      <c r="D702" s="10" t="s">
        <v>35</v>
      </c>
      <c r="E702" s="10" t="s">
        <v>284</v>
      </c>
      <c r="F702" s="11" t="n">
        <v>56</v>
      </c>
      <c r="G702" s="11" t="n">
        <v>6</v>
      </c>
      <c r="H702" s="26" t="n">
        <v>1873.78</v>
      </c>
      <c r="I702" s="26" t="n">
        <f aca="false">H702/G702</f>
        <v>312.296666666667</v>
      </c>
      <c r="J702" s="10" t="s">
        <v>189</v>
      </c>
      <c r="K702" s="10" t="s">
        <v>190</v>
      </c>
    </row>
    <row r="703" customFormat="false" ht="18.75" hidden="false" customHeight="true" outlineLevel="0" collapsed="false">
      <c r="A703" s="15" t="s">
        <v>1388</v>
      </c>
      <c r="B703" s="15" t="s">
        <v>248</v>
      </c>
      <c r="C703" s="15" t="s">
        <v>140</v>
      </c>
      <c r="D703" s="15" t="s">
        <v>35</v>
      </c>
      <c r="E703" s="15" t="s">
        <v>284</v>
      </c>
      <c r="F703" s="16" t="n">
        <v>100</v>
      </c>
      <c r="G703" s="16" t="n">
        <v>3</v>
      </c>
      <c r="H703" s="29" t="n">
        <v>1867.71</v>
      </c>
      <c r="I703" s="29" t="n">
        <f aca="false">H703/G703</f>
        <v>622.57</v>
      </c>
      <c r="J703" s="15" t="s">
        <v>253</v>
      </c>
      <c r="K703" s="15" t="s">
        <v>254</v>
      </c>
    </row>
    <row r="704" customFormat="false" ht="18.75" hidden="false" customHeight="true" outlineLevel="0" collapsed="false">
      <c r="A704" s="10" t="s">
        <v>1389</v>
      </c>
      <c r="B704" s="10" t="s">
        <v>1390</v>
      </c>
      <c r="C704" s="10" t="s">
        <v>219</v>
      </c>
      <c r="D704" s="10" t="s">
        <v>35</v>
      </c>
      <c r="E704" s="10" t="s">
        <v>284</v>
      </c>
      <c r="F704" s="11" t="n">
        <v>124</v>
      </c>
      <c r="G704" s="11" t="n">
        <v>2</v>
      </c>
      <c r="H704" s="26" t="n">
        <v>1864.58</v>
      </c>
      <c r="I704" s="26" t="n">
        <f aca="false">H704/G704</f>
        <v>932.29</v>
      </c>
      <c r="J704" s="10" t="s">
        <v>253</v>
      </c>
      <c r="K704" s="10" t="s">
        <v>254</v>
      </c>
    </row>
    <row r="705" customFormat="false" ht="18.75" hidden="false" customHeight="true" outlineLevel="0" collapsed="false">
      <c r="A705" s="15" t="s">
        <v>1391</v>
      </c>
      <c r="B705" s="15" t="s">
        <v>1392</v>
      </c>
      <c r="C705" s="15" t="s">
        <v>219</v>
      </c>
      <c r="D705" s="15" t="s">
        <v>35</v>
      </c>
      <c r="E705" s="15" t="s">
        <v>284</v>
      </c>
      <c r="F705" s="16" t="n">
        <v>60</v>
      </c>
      <c r="G705" s="16" t="n">
        <v>4</v>
      </c>
      <c r="H705" s="29" t="n">
        <v>1863.75</v>
      </c>
      <c r="I705" s="29" t="n">
        <f aca="false">H705/G705</f>
        <v>465.9375</v>
      </c>
      <c r="J705" s="15" t="s">
        <v>253</v>
      </c>
      <c r="K705" s="15" t="s">
        <v>254</v>
      </c>
    </row>
    <row r="706" customFormat="false" ht="18.75" hidden="false" customHeight="true" outlineLevel="0" collapsed="false">
      <c r="A706" s="10" t="s">
        <v>1393</v>
      </c>
      <c r="B706" s="10" t="s">
        <v>1394</v>
      </c>
      <c r="C706" s="10" t="s">
        <v>160</v>
      </c>
      <c r="D706" s="10" t="s">
        <v>36</v>
      </c>
      <c r="E706" s="10" t="s">
        <v>284</v>
      </c>
      <c r="F706" s="11" t="n">
        <v>1</v>
      </c>
      <c r="G706" s="11" t="n">
        <v>3</v>
      </c>
      <c r="H706" s="26" t="n">
        <v>1855.38</v>
      </c>
      <c r="I706" s="26" t="n">
        <f aca="false">H706/G706</f>
        <v>618.46</v>
      </c>
      <c r="J706" s="10" t="s">
        <v>280</v>
      </c>
      <c r="K706" s="10" t="s">
        <v>281</v>
      </c>
    </row>
    <row r="707" customFormat="false" ht="18.75" hidden="false" customHeight="true" outlineLevel="0" collapsed="false">
      <c r="A707" s="15" t="s">
        <v>1395</v>
      </c>
      <c r="B707" s="15" t="s">
        <v>1396</v>
      </c>
      <c r="C707" s="15" t="s">
        <v>216</v>
      </c>
      <c r="D707" s="15" t="s">
        <v>34</v>
      </c>
      <c r="E707" s="15" t="s">
        <v>284</v>
      </c>
      <c r="F707" s="16" t="n">
        <v>62</v>
      </c>
      <c r="G707" s="16" t="n">
        <v>4</v>
      </c>
      <c r="H707" s="29" t="n">
        <v>1852</v>
      </c>
      <c r="I707" s="29" t="n">
        <f aca="false">H707/G707</f>
        <v>463</v>
      </c>
      <c r="J707" s="15" t="s">
        <v>253</v>
      </c>
      <c r="K707" s="15" t="s">
        <v>254</v>
      </c>
    </row>
    <row r="708" customFormat="false" ht="18.75" hidden="false" customHeight="true" outlineLevel="0" collapsed="false">
      <c r="A708" s="10" t="s">
        <v>1397</v>
      </c>
      <c r="B708" s="10" t="s">
        <v>1398</v>
      </c>
      <c r="C708" s="10" t="s">
        <v>199</v>
      </c>
      <c r="D708" s="10" t="s">
        <v>36</v>
      </c>
      <c r="E708" s="10" t="s">
        <v>284</v>
      </c>
      <c r="F708" s="11" t="n">
        <v>118</v>
      </c>
      <c r="G708" s="11" t="n">
        <v>4</v>
      </c>
      <c r="H708" s="26" t="n">
        <v>1850.23</v>
      </c>
      <c r="I708" s="26" t="n">
        <f aca="false">H708/G708</f>
        <v>462.5575</v>
      </c>
      <c r="J708" s="10" t="s">
        <v>253</v>
      </c>
      <c r="K708" s="10" t="s">
        <v>254</v>
      </c>
    </row>
    <row r="709" customFormat="false" ht="18.75" hidden="false" customHeight="true" outlineLevel="0" collapsed="false">
      <c r="A709" s="15" t="s">
        <v>1399</v>
      </c>
      <c r="B709" s="15" t="s">
        <v>1323</v>
      </c>
      <c r="C709" s="15" t="s">
        <v>207</v>
      </c>
      <c r="D709" s="15" t="s">
        <v>35</v>
      </c>
      <c r="E709" s="15" t="s">
        <v>284</v>
      </c>
      <c r="F709" s="16" t="n">
        <v>43</v>
      </c>
      <c r="G709" s="16" t="n">
        <v>6</v>
      </c>
      <c r="H709" s="29" t="n">
        <v>1849.15</v>
      </c>
      <c r="I709" s="29" t="n">
        <f aca="false">H709/G709</f>
        <v>308.191666666667</v>
      </c>
      <c r="J709" s="15" t="s">
        <v>268</v>
      </c>
      <c r="K709" s="15" t="s">
        <v>269</v>
      </c>
    </row>
    <row r="710" customFormat="false" ht="18.75" hidden="false" customHeight="true" outlineLevel="0" collapsed="false">
      <c r="A710" s="10" t="s">
        <v>1400</v>
      </c>
      <c r="B710" s="10" t="s">
        <v>1401</v>
      </c>
      <c r="C710" s="10" t="s">
        <v>216</v>
      </c>
      <c r="D710" s="10" t="s">
        <v>34</v>
      </c>
      <c r="E710" s="10" t="s">
        <v>284</v>
      </c>
      <c r="F710" s="11" t="n">
        <v>36</v>
      </c>
      <c r="G710" s="11" t="n">
        <v>4</v>
      </c>
      <c r="H710" s="26" t="n">
        <v>1843.55</v>
      </c>
      <c r="I710" s="26" t="n">
        <f aca="false">H710/G710</f>
        <v>460.8875</v>
      </c>
      <c r="J710" s="10" t="s">
        <v>280</v>
      </c>
      <c r="K710" s="10" t="s">
        <v>281</v>
      </c>
    </row>
    <row r="711" customFormat="false" ht="18.75" hidden="false" customHeight="true" outlineLevel="0" collapsed="false">
      <c r="A711" s="15" t="s">
        <v>1402</v>
      </c>
      <c r="B711" s="15" t="s">
        <v>1403</v>
      </c>
      <c r="C711" s="15" t="s">
        <v>149</v>
      </c>
      <c r="D711" s="15" t="s">
        <v>35</v>
      </c>
      <c r="E711" s="15" t="s">
        <v>284</v>
      </c>
      <c r="F711" s="16" t="n">
        <v>25</v>
      </c>
      <c r="G711" s="16" t="n">
        <v>3</v>
      </c>
      <c r="H711" s="29" t="n">
        <v>1842</v>
      </c>
      <c r="I711" s="29" t="n">
        <f aca="false">H711/G711</f>
        <v>614</v>
      </c>
      <c r="J711" s="15" t="s">
        <v>280</v>
      </c>
      <c r="K711" s="15" t="s">
        <v>281</v>
      </c>
    </row>
    <row r="712" customFormat="false" ht="18.75" hidden="false" customHeight="true" outlineLevel="0" collapsed="false">
      <c r="A712" s="10" t="s">
        <v>1404</v>
      </c>
      <c r="B712" s="10" t="s">
        <v>275</v>
      </c>
      <c r="C712" s="10" t="s">
        <v>226</v>
      </c>
      <c r="D712" s="10" t="s">
        <v>36</v>
      </c>
      <c r="E712" s="10" t="s">
        <v>284</v>
      </c>
      <c r="F712" s="11" t="n">
        <v>74</v>
      </c>
      <c r="G712" s="11" t="n">
        <v>4</v>
      </c>
      <c r="H712" s="26" t="n">
        <v>1841.9</v>
      </c>
      <c r="I712" s="26" t="n">
        <f aca="false">H712/G712</f>
        <v>460.475</v>
      </c>
      <c r="J712" s="10" t="s">
        <v>253</v>
      </c>
      <c r="K712" s="10" t="s">
        <v>254</v>
      </c>
    </row>
    <row r="713" customFormat="false" ht="18.75" hidden="false" customHeight="true" outlineLevel="0" collapsed="false">
      <c r="A713" s="15" t="s">
        <v>1405</v>
      </c>
      <c r="B713" s="15" t="s">
        <v>1406</v>
      </c>
      <c r="C713" s="15" t="s">
        <v>219</v>
      </c>
      <c r="D713" s="15" t="s">
        <v>35</v>
      </c>
      <c r="E713" s="15" t="s">
        <v>284</v>
      </c>
      <c r="F713" s="16" t="n">
        <v>101</v>
      </c>
      <c r="G713" s="16" t="n">
        <v>3</v>
      </c>
      <c r="H713" s="29" t="n">
        <v>1824.36</v>
      </c>
      <c r="I713" s="29" t="n">
        <f aca="false">H713/G713</f>
        <v>608.12</v>
      </c>
      <c r="J713" s="15" t="s">
        <v>253</v>
      </c>
      <c r="K713" s="15" t="s">
        <v>254</v>
      </c>
    </row>
    <row r="714" customFormat="false" ht="18.75" hidden="false" customHeight="true" outlineLevel="0" collapsed="false">
      <c r="A714" s="10" t="s">
        <v>1407</v>
      </c>
      <c r="B714" s="10" t="s">
        <v>1408</v>
      </c>
      <c r="C714" s="10" t="s">
        <v>207</v>
      </c>
      <c r="D714" s="10" t="s">
        <v>35</v>
      </c>
      <c r="E714" s="10" t="s">
        <v>284</v>
      </c>
      <c r="F714" s="11" t="n">
        <v>46</v>
      </c>
      <c r="G714" s="11" t="n">
        <v>6</v>
      </c>
      <c r="H714" s="26" t="n">
        <v>1822.25</v>
      </c>
      <c r="I714" s="26" t="n">
        <f aca="false">H714/G714</f>
        <v>303.708333333333</v>
      </c>
      <c r="J714" s="10" t="s">
        <v>268</v>
      </c>
      <c r="K714" s="10" t="s">
        <v>269</v>
      </c>
    </row>
    <row r="715" customFormat="false" ht="18.75" hidden="false" customHeight="true" outlineLevel="0" collapsed="false">
      <c r="A715" s="15" t="s">
        <v>1409</v>
      </c>
      <c r="B715" s="15" t="s">
        <v>482</v>
      </c>
      <c r="C715" s="15" t="s">
        <v>140</v>
      </c>
      <c r="D715" s="15" t="s">
        <v>35</v>
      </c>
      <c r="E715" s="15" t="s">
        <v>284</v>
      </c>
      <c r="F715" s="16" t="n">
        <v>13</v>
      </c>
      <c r="G715" s="16" t="n">
        <v>4</v>
      </c>
      <c r="H715" s="29" t="n">
        <v>1817.25</v>
      </c>
      <c r="I715" s="29" t="n">
        <f aca="false">H715/G715</f>
        <v>454.3125</v>
      </c>
      <c r="J715" s="15" t="s">
        <v>280</v>
      </c>
      <c r="K715" s="15" t="s">
        <v>281</v>
      </c>
    </row>
    <row r="716" customFormat="false" ht="18.75" hidden="false" customHeight="true" outlineLevel="0" collapsed="false">
      <c r="A716" s="10" t="s">
        <v>1410</v>
      </c>
      <c r="B716" s="10" t="s">
        <v>736</v>
      </c>
      <c r="C716" s="10" t="s">
        <v>160</v>
      </c>
      <c r="D716" s="10" t="s">
        <v>36</v>
      </c>
      <c r="E716" s="10" t="s">
        <v>284</v>
      </c>
      <c r="F716" s="11" t="n">
        <v>143</v>
      </c>
      <c r="G716" s="11" t="n">
        <v>2</v>
      </c>
      <c r="H716" s="26" t="n">
        <v>1816.66</v>
      </c>
      <c r="I716" s="26" t="n">
        <f aca="false">H716/G716</f>
        <v>908.33</v>
      </c>
      <c r="J716" s="10" t="s">
        <v>253</v>
      </c>
      <c r="K716" s="10" t="s">
        <v>254</v>
      </c>
    </row>
    <row r="717" customFormat="false" ht="18.75" hidden="false" customHeight="true" outlineLevel="0" collapsed="false">
      <c r="A717" s="15" t="s">
        <v>1411</v>
      </c>
      <c r="B717" s="15" t="s">
        <v>1250</v>
      </c>
      <c r="C717" s="15" t="s">
        <v>140</v>
      </c>
      <c r="D717" s="15" t="s">
        <v>35</v>
      </c>
      <c r="E717" s="15" t="s">
        <v>284</v>
      </c>
      <c r="F717" s="16" t="n">
        <v>51</v>
      </c>
      <c r="G717" s="16" t="n">
        <v>4</v>
      </c>
      <c r="H717" s="29" t="n">
        <v>1812.7</v>
      </c>
      <c r="I717" s="29" t="n">
        <f aca="false">H717/G717</f>
        <v>453.175</v>
      </c>
      <c r="J717" s="15" t="s">
        <v>253</v>
      </c>
      <c r="K717" s="15" t="s">
        <v>254</v>
      </c>
    </row>
    <row r="718" customFormat="false" ht="18.75" hidden="false" customHeight="true" outlineLevel="0" collapsed="false">
      <c r="A718" s="10" t="s">
        <v>1412</v>
      </c>
      <c r="B718" s="10" t="s">
        <v>1413</v>
      </c>
      <c r="C718" s="10" t="s">
        <v>219</v>
      </c>
      <c r="D718" s="10" t="s">
        <v>35</v>
      </c>
      <c r="E718" s="10" t="s">
        <v>284</v>
      </c>
      <c r="F718" s="11" t="n">
        <v>45</v>
      </c>
      <c r="G718" s="11" t="n">
        <v>4</v>
      </c>
      <c r="H718" s="26" t="n">
        <v>1809.61</v>
      </c>
      <c r="I718" s="26" t="n">
        <f aca="false">H718/G718</f>
        <v>452.4025</v>
      </c>
      <c r="J718" s="10" t="s">
        <v>280</v>
      </c>
      <c r="K718" s="10" t="s">
        <v>281</v>
      </c>
    </row>
    <row r="719" customFormat="false" ht="18.75" hidden="false" customHeight="true" outlineLevel="0" collapsed="false">
      <c r="A719" s="15" t="s">
        <v>1414</v>
      </c>
      <c r="B719" s="15" t="s">
        <v>579</v>
      </c>
      <c r="C719" s="15" t="s">
        <v>160</v>
      </c>
      <c r="D719" s="15" t="s">
        <v>36</v>
      </c>
      <c r="E719" s="15" t="s">
        <v>284</v>
      </c>
      <c r="F719" s="16" t="n">
        <v>38</v>
      </c>
      <c r="G719" s="16" t="n">
        <v>4</v>
      </c>
      <c r="H719" s="29" t="n">
        <v>1805.52</v>
      </c>
      <c r="I719" s="29" t="n">
        <f aca="false">H719/G719</f>
        <v>451.38</v>
      </c>
      <c r="J719" s="15" t="s">
        <v>280</v>
      </c>
      <c r="K719" s="15" t="s">
        <v>281</v>
      </c>
    </row>
    <row r="720" customFormat="false" ht="18.75" hidden="false" customHeight="true" outlineLevel="0" collapsed="false">
      <c r="A720" s="10" t="s">
        <v>1415</v>
      </c>
      <c r="B720" s="10" t="s">
        <v>1416</v>
      </c>
      <c r="C720" s="10" t="s">
        <v>181</v>
      </c>
      <c r="D720" s="10" t="s">
        <v>36</v>
      </c>
      <c r="E720" s="10" t="s">
        <v>141</v>
      </c>
      <c r="F720" s="11" t="n">
        <v>28</v>
      </c>
      <c r="G720" s="11" t="n">
        <v>1</v>
      </c>
      <c r="H720" s="26" t="n">
        <v>1794</v>
      </c>
      <c r="I720" s="26" t="n">
        <f aca="false">H720/G720</f>
        <v>1794</v>
      </c>
      <c r="J720" s="10" t="s">
        <v>280</v>
      </c>
      <c r="K720" s="10" t="s">
        <v>281</v>
      </c>
    </row>
    <row r="721" customFormat="false" ht="18.75" hidden="false" customHeight="true" outlineLevel="0" collapsed="false">
      <c r="A721" s="15" t="s">
        <v>1417</v>
      </c>
      <c r="B721" s="15" t="s">
        <v>338</v>
      </c>
      <c r="C721" s="15" t="s">
        <v>155</v>
      </c>
      <c r="D721" s="15" t="s">
        <v>34</v>
      </c>
      <c r="E721" s="15" t="s">
        <v>284</v>
      </c>
      <c r="F721" s="16" t="n">
        <v>12</v>
      </c>
      <c r="G721" s="16" t="n">
        <v>2</v>
      </c>
      <c r="H721" s="29" t="n">
        <v>1789.6</v>
      </c>
      <c r="I721" s="29" t="n">
        <f aca="false">H721/G721</f>
        <v>894.8</v>
      </c>
      <c r="J721" s="15" t="s">
        <v>280</v>
      </c>
      <c r="K721" s="15" t="s">
        <v>281</v>
      </c>
    </row>
    <row r="722" customFormat="false" ht="18.75" hidden="false" customHeight="true" outlineLevel="0" collapsed="false">
      <c r="A722" s="10" t="s">
        <v>1418</v>
      </c>
      <c r="B722" s="10" t="s">
        <v>1419</v>
      </c>
      <c r="C722" s="10" t="s">
        <v>184</v>
      </c>
      <c r="D722" s="10" t="s">
        <v>34</v>
      </c>
      <c r="E722" s="10" t="s">
        <v>284</v>
      </c>
      <c r="F722" s="11" t="n">
        <v>11</v>
      </c>
      <c r="G722" s="11" t="n">
        <v>4</v>
      </c>
      <c r="H722" s="26" t="n">
        <v>1761.98</v>
      </c>
      <c r="I722" s="26" t="n">
        <f aca="false">H722/G722</f>
        <v>440.495</v>
      </c>
      <c r="J722" s="10" t="s">
        <v>280</v>
      </c>
      <c r="K722" s="10" t="s">
        <v>281</v>
      </c>
    </row>
    <row r="723" customFormat="false" ht="18.75" hidden="false" customHeight="true" outlineLevel="0" collapsed="false">
      <c r="A723" s="15" t="s">
        <v>1420</v>
      </c>
      <c r="B723" s="15" t="s">
        <v>183</v>
      </c>
      <c r="C723" s="15" t="s">
        <v>184</v>
      </c>
      <c r="D723" s="15" t="s">
        <v>34</v>
      </c>
      <c r="E723" s="15" t="s">
        <v>284</v>
      </c>
      <c r="F723" s="16" t="n">
        <v>44</v>
      </c>
      <c r="G723" s="16" t="n">
        <v>6</v>
      </c>
      <c r="H723" s="29" t="n">
        <v>1761.34</v>
      </c>
      <c r="I723" s="29" t="n">
        <f aca="false">H723/G723</f>
        <v>293.556666666667</v>
      </c>
      <c r="J723" s="15" t="s">
        <v>268</v>
      </c>
      <c r="K723" s="15" t="s">
        <v>269</v>
      </c>
    </row>
    <row r="724" customFormat="false" ht="18.75" hidden="false" customHeight="true" outlineLevel="0" collapsed="false">
      <c r="A724" s="10" t="s">
        <v>1421</v>
      </c>
      <c r="B724" s="10" t="s">
        <v>1385</v>
      </c>
      <c r="C724" s="10" t="s">
        <v>166</v>
      </c>
      <c r="D724" s="10" t="s">
        <v>35</v>
      </c>
      <c r="E724" s="10" t="s">
        <v>284</v>
      </c>
      <c r="F724" s="11" t="n">
        <v>11</v>
      </c>
      <c r="G724" s="11" t="n">
        <v>5</v>
      </c>
      <c r="H724" s="26" t="n">
        <v>1757.54</v>
      </c>
      <c r="I724" s="26" t="n">
        <f aca="false">H724/G724</f>
        <v>351.508</v>
      </c>
      <c r="J724" s="10" t="s">
        <v>268</v>
      </c>
      <c r="K724" s="10" t="s">
        <v>269</v>
      </c>
    </row>
    <row r="725" customFormat="false" ht="18.75" hidden="false" customHeight="true" outlineLevel="0" collapsed="false">
      <c r="A725" s="15" t="s">
        <v>1422</v>
      </c>
      <c r="B725" s="15" t="s">
        <v>1423</v>
      </c>
      <c r="C725" s="15" t="s">
        <v>184</v>
      </c>
      <c r="D725" s="15" t="s">
        <v>34</v>
      </c>
      <c r="E725" s="15" t="s">
        <v>284</v>
      </c>
      <c r="F725" s="16" t="n">
        <v>21</v>
      </c>
      <c r="G725" s="16" t="n">
        <v>4</v>
      </c>
      <c r="H725" s="29" t="n">
        <v>1747.4</v>
      </c>
      <c r="I725" s="29" t="n">
        <f aca="false">H725/G725</f>
        <v>436.85</v>
      </c>
      <c r="J725" s="15" t="s">
        <v>280</v>
      </c>
      <c r="K725" s="15" t="s">
        <v>281</v>
      </c>
    </row>
    <row r="726" customFormat="false" ht="18.75" hidden="false" customHeight="true" outlineLevel="0" collapsed="false">
      <c r="A726" s="10" t="s">
        <v>1424</v>
      </c>
      <c r="B726" s="10" t="s">
        <v>183</v>
      </c>
      <c r="C726" s="10" t="s">
        <v>216</v>
      </c>
      <c r="D726" s="10" t="s">
        <v>34</v>
      </c>
      <c r="E726" s="10" t="s">
        <v>284</v>
      </c>
      <c r="F726" s="11" t="n">
        <v>59</v>
      </c>
      <c r="G726" s="11" t="n">
        <v>3</v>
      </c>
      <c r="H726" s="26" t="n">
        <v>1739.3</v>
      </c>
      <c r="I726" s="26" t="n">
        <f aca="false">H726/G726</f>
        <v>579.766666666667</v>
      </c>
      <c r="J726" s="10" t="s">
        <v>253</v>
      </c>
      <c r="K726" s="10" t="s">
        <v>254</v>
      </c>
    </row>
    <row r="727" customFormat="false" ht="18.75" hidden="false" customHeight="true" outlineLevel="0" collapsed="false">
      <c r="A727" s="15" t="s">
        <v>1425</v>
      </c>
      <c r="B727" s="15" t="s">
        <v>1426</v>
      </c>
      <c r="C727" s="15" t="s">
        <v>216</v>
      </c>
      <c r="D727" s="15" t="s">
        <v>34</v>
      </c>
      <c r="E727" s="15" t="s">
        <v>284</v>
      </c>
      <c r="F727" s="16" t="n">
        <v>4</v>
      </c>
      <c r="G727" s="16" t="n">
        <v>5</v>
      </c>
      <c r="H727" s="29" t="n">
        <v>1733.36</v>
      </c>
      <c r="I727" s="29" t="n">
        <f aca="false">H727/G727</f>
        <v>346.672</v>
      </c>
      <c r="J727" s="15" t="s">
        <v>268</v>
      </c>
      <c r="K727" s="15" t="s">
        <v>269</v>
      </c>
    </row>
    <row r="728" customFormat="false" ht="18.75" hidden="false" customHeight="true" outlineLevel="0" collapsed="false">
      <c r="A728" s="10" t="s">
        <v>1427</v>
      </c>
      <c r="B728" s="10" t="s">
        <v>1282</v>
      </c>
      <c r="C728" s="10" t="s">
        <v>146</v>
      </c>
      <c r="D728" s="10" t="s">
        <v>34</v>
      </c>
      <c r="E728" s="10" t="s">
        <v>284</v>
      </c>
      <c r="F728" s="11" t="n">
        <v>107</v>
      </c>
      <c r="G728" s="11" t="n">
        <v>4</v>
      </c>
      <c r="H728" s="26" t="n">
        <v>1731.45</v>
      </c>
      <c r="I728" s="26" t="n">
        <f aca="false">H728/G728</f>
        <v>432.8625</v>
      </c>
      <c r="J728" s="10" t="s">
        <v>253</v>
      </c>
      <c r="K728" s="10" t="s">
        <v>254</v>
      </c>
    </row>
    <row r="729" customFormat="false" ht="18.75" hidden="false" customHeight="true" outlineLevel="0" collapsed="false">
      <c r="A729" s="15" t="s">
        <v>1428</v>
      </c>
      <c r="B729" s="15" t="s">
        <v>574</v>
      </c>
      <c r="C729" s="15" t="s">
        <v>160</v>
      </c>
      <c r="D729" s="15" t="s">
        <v>36</v>
      </c>
      <c r="E729" s="15" t="s">
        <v>284</v>
      </c>
      <c r="F729" s="16" t="n">
        <v>99</v>
      </c>
      <c r="G729" s="16" t="n">
        <v>4</v>
      </c>
      <c r="H729" s="29" t="n">
        <v>1730.65</v>
      </c>
      <c r="I729" s="29" t="n">
        <f aca="false">H729/G729</f>
        <v>432.6625</v>
      </c>
      <c r="J729" s="15" t="s">
        <v>253</v>
      </c>
      <c r="K729" s="15" t="s">
        <v>254</v>
      </c>
    </row>
    <row r="730" customFormat="false" ht="18.75" hidden="false" customHeight="true" outlineLevel="0" collapsed="false">
      <c r="A730" s="10" t="s">
        <v>1429</v>
      </c>
      <c r="B730" s="10" t="s">
        <v>1430</v>
      </c>
      <c r="C730" s="10" t="s">
        <v>149</v>
      </c>
      <c r="D730" s="10" t="s">
        <v>35</v>
      </c>
      <c r="E730" s="10" t="s">
        <v>284</v>
      </c>
      <c r="F730" s="11" t="n">
        <v>144</v>
      </c>
      <c r="G730" s="11" t="n">
        <v>1</v>
      </c>
      <c r="H730" s="26" t="n">
        <v>1729.25</v>
      </c>
      <c r="I730" s="26" t="n">
        <f aca="false">H730/G730</f>
        <v>1729.25</v>
      </c>
      <c r="J730" s="10" t="s">
        <v>253</v>
      </c>
      <c r="K730" s="10" t="s">
        <v>254</v>
      </c>
    </row>
    <row r="731" customFormat="false" ht="18.75" hidden="false" customHeight="true" outlineLevel="0" collapsed="false">
      <c r="A731" s="15" t="s">
        <v>1431</v>
      </c>
      <c r="B731" s="15" t="s">
        <v>431</v>
      </c>
      <c r="C731" s="15" t="s">
        <v>181</v>
      </c>
      <c r="D731" s="15" t="s">
        <v>36</v>
      </c>
      <c r="E731" s="15" t="s">
        <v>284</v>
      </c>
      <c r="F731" s="16" t="n">
        <v>26</v>
      </c>
      <c r="G731" s="16" t="n">
        <v>5</v>
      </c>
      <c r="H731" s="29" t="n">
        <v>1727.59</v>
      </c>
      <c r="I731" s="29" t="n">
        <f aca="false">H731/G731</f>
        <v>345.518</v>
      </c>
      <c r="J731" s="15" t="s">
        <v>268</v>
      </c>
      <c r="K731" s="15" t="s">
        <v>269</v>
      </c>
    </row>
    <row r="732" customFormat="false" ht="18.75" hidden="false" customHeight="true" outlineLevel="0" collapsed="false">
      <c r="A732" s="10" t="s">
        <v>1432</v>
      </c>
      <c r="B732" s="10" t="s">
        <v>1433</v>
      </c>
      <c r="C732" s="10" t="s">
        <v>166</v>
      </c>
      <c r="D732" s="10" t="s">
        <v>35</v>
      </c>
      <c r="E732" s="10" t="s">
        <v>384</v>
      </c>
      <c r="F732" s="11" t="n">
        <v>10</v>
      </c>
      <c r="G732" s="11" t="n">
        <v>6</v>
      </c>
      <c r="H732" s="26" t="n">
        <v>1724.38</v>
      </c>
      <c r="I732" s="26" t="n">
        <f aca="false">H732/G732</f>
        <v>287.396666666667</v>
      </c>
      <c r="J732" s="10" t="s">
        <v>268</v>
      </c>
      <c r="K732" s="10" t="s">
        <v>269</v>
      </c>
    </row>
    <row r="733" customFormat="false" ht="18.75" hidden="false" customHeight="true" outlineLevel="0" collapsed="false">
      <c r="A733" s="15" t="s">
        <v>1434</v>
      </c>
      <c r="B733" s="15" t="s">
        <v>1192</v>
      </c>
      <c r="C733" s="15" t="s">
        <v>184</v>
      </c>
      <c r="D733" s="15" t="s">
        <v>34</v>
      </c>
      <c r="E733" s="15" t="s">
        <v>284</v>
      </c>
      <c r="F733" s="16" t="n">
        <v>216</v>
      </c>
      <c r="G733" s="16" t="n">
        <v>6</v>
      </c>
      <c r="H733" s="29" t="n">
        <v>1716.1</v>
      </c>
      <c r="I733" s="29" t="n">
        <f aca="false">H733/G733</f>
        <v>286.016666666667</v>
      </c>
      <c r="J733" s="15" t="s">
        <v>268</v>
      </c>
      <c r="K733" s="15" t="s">
        <v>269</v>
      </c>
    </row>
    <row r="734" customFormat="false" ht="18.75" hidden="false" customHeight="true" outlineLevel="0" collapsed="false">
      <c r="A734" s="10" t="s">
        <v>1435</v>
      </c>
      <c r="B734" s="10" t="s">
        <v>1436</v>
      </c>
      <c r="C734" s="10" t="s">
        <v>155</v>
      </c>
      <c r="D734" s="10" t="s">
        <v>34</v>
      </c>
      <c r="E734" s="10" t="s">
        <v>284</v>
      </c>
      <c r="F734" s="11" t="n">
        <v>32</v>
      </c>
      <c r="G734" s="11" t="n">
        <v>3</v>
      </c>
      <c r="H734" s="26" t="n">
        <v>1715.18</v>
      </c>
      <c r="I734" s="26" t="n">
        <f aca="false">H734/G734</f>
        <v>571.726666666667</v>
      </c>
      <c r="J734" s="10" t="s">
        <v>280</v>
      </c>
      <c r="K734" s="10" t="s">
        <v>281</v>
      </c>
    </row>
    <row r="735" customFormat="false" ht="18.75" hidden="false" customHeight="true" outlineLevel="0" collapsed="false">
      <c r="A735" s="15" t="s">
        <v>1437</v>
      </c>
      <c r="B735" s="15" t="s">
        <v>386</v>
      </c>
      <c r="C735" s="15" t="s">
        <v>149</v>
      </c>
      <c r="D735" s="15" t="s">
        <v>35</v>
      </c>
      <c r="E735" s="15" t="s">
        <v>284</v>
      </c>
      <c r="F735" s="16" t="n">
        <v>40</v>
      </c>
      <c r="G735" s="16" t="n">
        <v>4</v>
      </c>
      <c r="H735" s="29" t="n">
        <v>1714</v>
      </c>
      <c r="I735" s="29" t="n">
        <f aca="false">H735/G735</f>
        <v>428.5</v>
      </c>
      <c r="J735" s="15" t="s">
        <v>280</v>
      </c>
      <c r="K735" s="15" t="s">
        <v>281</v>
      </c>
    </row>
    <row r="736" customFormat="false" ht="18.75" hidden="false" customHeight="true" outlineLevel="0" collapsed="false">
      <c r="A736" s="10" t="s">
        <v>1438</v>
      </c>
      <c r="B736" s="10" t="s">
        <v>1208</v>
      </c>
      <c r="C736" s="10" t="s">
        <v>207</v>
      </c>
      <c r="D736" s="10" t="s">
        <v>35</v>
      </c>
      <c r="E736" s="10" t="s">
        <v>284</v>
      </c>
      <c r="F736" s="11" t="n">
        <v>91</v>
      </c>
      <c r="G736" s="11" t="n">
        <v>6</v>
      </c>
      <c r="H736" s="26" t="n">
        <v>1702.14</v>
      </c>
      <c r="I736" s="26" t="n">
        <f aca="false">H736/G736</f>
        <v>283.69</v>
      </c>
      <c r="J736" s="10" t="s">
        <v>189</v>
      </c>
      <c r="K736" s="10" t="s">
        <v>190</v>
      </c>
    </row>
    <row r="737" customFormat="false" ht="18.75" hidden="false" customHeight="true" outlineLevel="0" collapsed="false">
      <c r="A737" s="15" t="s">
        <v>1439</v>
      </c>
      <c r="B737" s="15" t="s">
        <v>1010</v>
      </c>
      <c r="C737" s="15" t="s">
        <v>216</v>
      </c>
      <c r="D737" s="15" t="s">
        <v>34</v>
      </c>
      <c r="E737" s="15" t="s">
        <v>284</v>
      </c>
      <c r="F737" s="16" t="n">
        <v>118</v>
      </c>
      <c r="G737" s="16" t="n">
        <v>4</v>
      </c>
      <c r="H737" s="29" t="n">
        <v>1694.18</v>
      </c>
      <c r="I737" s="29" t="n">
        <f aca="false">H737/G737</f>
        <v>423.545</v>
      </c>
      <c r="J737" s="15" t="s">
        <v>253</v>
      </c>
      <c r="K737" s="15" t="s">
        <v>254</v>
      </c>
    </row>
    <row r="738" customFormat="false" ht="18.75" hidden="false" customHeight="true" outlineLevel="0" collapsed="false">
      <c r="A738" s="10" t="s">
        <v>1440</v>
      </c>
      <c r="B738" s="10" t="s">
        <v>656</v>
      </c>
      <c r="C738" s="10" t="s">
        <v>181</v>
      </c>
      <c r="D738" s="10" t="s">
        <v>36</v>
      </c>
      <c r="E738" s="10" t="s">
        <v>284</v>
      </c>
      <c r="F738" s="11" t="n">
        <v>28</v>
      </c>
      <c r="G738" s="11" t="n">
        <v>4</v>
      </c>
      <c r="H738" s="26" t="n">
        <v>1681.44</v>
      </c>
      <c r="I738" s="26" t="n">
        <f aca="false">H738/G738</f>
        <v>420.36</v>
      </c>
      <c r="J738" s="10" t="s">
        <v>280</v>
      </c>
      <c r="K738" s="10" t="s">
        <v>281</v>
      </c>
    </row>
    <row r="739" customFormat="false" ht="18.75" hidden="false" customHeight="true" outlineLevel="0" collapsed="false">
      <c r="A739" s="15" t="s">
        <v>1441</v>
      </c>
      <c r="B739" s="15" t="s">
        <v>955</v>
      </c>
      <c r="C739" s="15" t="s">
        <v>140</v>
      </c>
      <c r="D739" s="15" t="s">
        <v>35</v>
      </c>
      <c r="E739" s="15" t="s">
        <v>284</v>
      </c>
      <c r="F739" s="16" t="n">
        <v>22</v>
      </c>
      <c r="G739" s="16" t="n">
        <v>4</v>
      </c>
      <c r="H739" s="29" t="n">
        <v>1678.19</v>
      </c>
      <c r="I739" s="29" t="n">
        <f aca="false">H739/G739</f>
        <v>419.5475</v>
      </c>
      <c r="J739" s="15" t="s">
        <v>280</v>
      </c>
      <c r="K739" s="15" t="s">
        <v>281</v>
      </c>
    </row>
    <row r="740" customFormat="false" ht="18.75" hidden="false" customHeight="true" outlineLevel="0" collapsed="false">
      <c r="A740" s="10" t="s">
        <v>1442</v>
      </c>
      <c r="B740" s="10" t="s">
        <v>1443</v>
      </c>
      <c r="C740" s="10" t="s">
        <v>140</v>
      </c>
      <c r="D740" s="10" t="s">
        <v>35</v>
      </c>
      <c r="E740" s="10" t="s">
        <v>284</v>
      </c>
      <c r="F740" s="11" t="n">
        <v>2</v>
      </c>
      <c r="G740" s="11" t="n">
        <v>4</v>
      </c>
      <c r="H740" s="26" t="n">
        <v>1655.11</v>
      </c>
      <c r="I740" s="26" t="n">
        <f aca="false">H740/G740</f>
        <v>413.7775</v>
      </c>
      <c r="J740" s="10" t="s">
        <v>280</v>
      </c>
      <c r="K740" s="10" t="s">
        <v>281</v>
      </c>
    </row>
    <row r="741" customFormat="false" ht="18.75" hidden="false" customHeight="true" outlineLevel="0" collapsed="false">
      <c r="A741" s="15" t="s">
        <v>1444</v>
      </c>
      <c r="B741" s="15" t="s">
        <v>1130</v>
      </c>
      <c r="C741" s="15" t="s">
        <v>181</v>
      </c>
      <c r="D741" s="15" t="s">
        <v>36</v>
      </c>
      <c r="E741" s="15" t="s">
        <v>284</v>
      </c>
      <c r="F741" s="16" t="n">
        <v>162</v>
      </c>
      <c r="G741" s="16" t="n">
        <v>2</v>
      </c>
      <c r="H741" s="29" t="n">
        <v>1653.85</v>
      </c>
      <c r="I741" s="29" t="n">
        <f aca="false">H741/G741</f>
        <v>826.925</v>
      </c>
      <c r="J741" s="15" t="s">
        <v>253</v>
      </c>
      <c r="K741" s="15" t="s">
        <v>254</v>
      </c>
    </row>
    <row r="742" customFormat="false" ht="18.75" hidden="false" customHeight="true" outlineLevel="0" collapsed="false">
      <c r="A742" s="10" t="s">
        <v>1445</v>
      </c>
      <c r="B742" s="10" t="s">
        <v>1103</v>
      </c>
      <c r="C742" s="10" t="s">
        <v>181</v>
      </c>
      <c r="D742" s="10" t="s">
        <v>36</v>
      </c>
      <c r="E742" s="10" t="s">
        <v>284</v>
      </c>
      <c r="F742" s="11" t="n">
        <v>151</v>
      </c>
      <c r="G742" s="11" t="n">
        <v>3</v>
      </c>
      <c r="H742" s="26" t="n">
        <v>1644.65</v>
      </c>
      <c r="I742" s="26" t="n">
        <f aca="false">H742/G742</f>
        <v>548.216666666667</v>
      </c>
      <c r="J742" s="10" t="s">
        <v>253</v>
      </c>
      <c r="K742" s="10" t="s">
        <v>254</v>
      </c>
    </row>
    <row r="743" customFormat="false" ht="18.75" hidden="false" customHeight="true" outlineLevel="0" collapsed="false">
      <c r="A743" s="15" t="s">
        <v>1446</v>
      </c>
      <c r="B743" s="15" t="s">
        <v>1447</v>
      </c>
      <c r="C743" s="15" t="s">
        <v>163</v>
      </c>
      <c r="D743" s="15" t="s">
        <v>36</v>
      </c>
      <c r="E743" s="15" t="s">
        <v>284</v>
      </c>
      <c r="F743" s="16" t="n">
        <v>33</v>
      </c>
      <c r="G743" s="16" t="n">
        <v>6</v>
      </c>
      <c r="H743" s="29" t="n">
        <v>1629.76</v>
      </c>
      <c r="I743" s="29" t="n">
        <f aca="false">H743/G743</f>
        <v>271.626666666667</v>
      </c>
      <c r="J743" s="15" t="s">
        <v>268</v>
      </c>
      <c r="K743" s="15" t="s">
        <v>269</v>
      </c>
    </row>
    <row r="744" customFormat="false" ht="18.75" hidden="false" customHeight="true" outlineLevel="0" collapsed="false">
      <c r="A744" s="10" t="s">
        <v>1448</v>
      </c>
      <c r="B744" s="10" t="s">
        <v>330</v>
      </c>
      <c r="C744" s="10" t="s">
        <v>199</v>
      </c>
      <c r="D744" s="10" t="s">
        <v>36</v>
      </c>
      <c r="E744" s="10" t="s">
        <v>284</v>
      </c>
      <c r="F744" s="11" t="n">
        <v>89</v>
      </c>
      <c r="G744" s="11" t="n">
        <v>3</v>
      </c>
      <c r="H744" s="26" t="n">
        <v>1629.68</v>
      </c>
      <c r="I744" s="26" t="n">
        <f aca="false">H744/G744</f>
        <v>543.226666666667</v>
      </c>
      <c r="J744" s="10" t="s">
        <v>253</v>
      </c>
      <c r="K744" s="10" t="s">
        <v>254</v>
      </c>
    </row>
    <row r="745" customFormat="false" ht="18.75" hidden="false" customHeight="true" outlineLevel="0" collapsed="false">
      <c r="A745" s="15" t="s">
        <v>1449</v>
      </c>
      <c r="B745" s="15" t="s">
        <v>1450</v>
      </c>
      <c r="C745" s="15" t="s">
        <v>216</v>
      </c>
      <c r="D745" s="15" t="s">
        <v>34</v>
      </c>
      <c r="E745" s="15" t="s">
        <v>284</v>
      </c>
      <c r="F745" s="16" t="n">
        <v>26</v>
      </c>
      <c r="G745" s="16" t="n">
        <v>3</v>
      </c>
      <c r="H745" s="29" t="n">
        <v>1626.59</v>
      </c>
      <c r="I745" s="29" t="n">
        <f aca="false">H745/G745</f>
        <v>542.196666666667</v>
      </c>
      <c r="J745" s="15" t="s">
        <v>280</v>
      </c>
      <c r="K745" s="15" t="s">
        <v>281</v>
      </c>
    </row>
    <row r="746" customFormat="false" ht="18.75" hidden="false" customHeight="true" outlineLevel="0" collapsed="false">
      <c r="A746" s="10" t="s">
        <v>1451</v>
      </c>
      <c r="B746" s="10" t="s">
        <v>614</v>
      </c>
      <c r="C746" s="10" t="s">
        <v>166</v>
      </c>
      <c r="D746" s="10" t="s">
        <v>35</v>
      </c>
      <c r="E746" s="10" t="s">
        <v>284</v>
      </c>
      <c r="F746" s="11" t="n">
        <v>88</v>
      </c>
      <c r="G746" s="11" t="n">
        <v>6</v>
      </c>
      <c r="H746" s="26" t="n">
        <v>1626.03</v>
      </c>
      <c r="I746" s="26" t="n">
        <f aca="false">H746/G746</f>
        <v>271.005</v>
      </c>
      <c r="J746" s="10" t="s">
        <v>189</v>
      </c>
      <c r="K746" s="10" t="s">
        <v>190</v>
      </c>
    </row>
    <row r="747" customFormat="false" ht="18.75" hidden="false" customHeight="true" outlineLevel="0" collapsed="false">
      <c r="A747" s="15" t="s">
        <v>1452</v>
      </c>
      <c r="B747" s="15" t="s">
        <v>400</v>
      </c>
      <c r="C747" s="15" t="s">
        <v>219</v>
      </c>
      <c r="D747" s="15" t="s">
        <v>35</v>
      </c>
      <c r="E747" s="15" t="s">
        <v>284</v>
      </c>
      <c r="F747" s="16" t="n">
        <v>200</v>
      </c>
      <c r="G747" s="16" t="n">
        <v>2</v>
      </c>
      <c r="H747" s="29" t="n">
        <v>1625.65</v>
      </c>
      <c r="I747" s="29" t="n">
        <f aca="false">H747/G747</f>
        <v>812.825</v>
      </c>
      <c r="J747" s="15" t="s">
        <v>253</v>
      </c>
      <c r="K747" s="15" t="s">
        <v>254</v>
      </c>
    </row>
    <row r="748" customFormat="false" ht="18.75" hidden="false" customHeight="true" outlineLevel="0" collapsed="false">
      <c r="A748" s="10" t="s">
        <v>1453</v>
      </c>
      <c r="B748" s="10" t="s">
        <v>842</v>
      </c>
      <c r="C748" s="10" t="s">
        <v>216</v>
      </c>
      <c r="D748" s="10" t="s">
        <v>34</v>
      </c>
      <c r="E748" s="10" t="s">
        <v>284</v>
      </c>
      <c r="F748" s="11" t="n">
        <v>2</v>
      </c>
      <c r="G748" s="11" t="n">
        <v>5</v>
      </c>
      <c r="H748" s="26" t="n">
        <v>1624.23</v>
      </c>
      <c r="I748" s="26" t="n">
        <f aca="false">H748/G748</f>
        <v>324.846</v>
      </c>
      <c r="J748" s="10" t="s">
        <v>268</v>
      </c>
      <c r="K748" s="10" t="s">
        <v>269</v>
      </c>
    </row>
    <row r="749" customFormat="false" ht="18.75" hidden="false" customHeight="true" outlineLevel="0" collapsed="false">
      <c r="A749" s="15" t="s">
        <v>1454</v>
      </c>
      <c r="B749" s="15" t="s">
        <v>1216</v>
      </c>
      <c r="C749" s="15" t="s">
        <v>160</v>
      </c>
      <c r="D749" s="15" t="s">
        <v>36</v>
      </c>
      <c r="E749" s="15" t="s">
        <v>284</v>
      </c>
      <c r="F749" s="16" t="n">
        <v>178</v>
      </c>
      <c r="G749" s="16" t="n">
        <v>5</v>
      </c>
      <c r="H749" s="29" t="n">
        <v>1623.35</v>
      </c>
      <c r="I749" s="29" t="n">
        <f aca="false">H749/G749</f>
        <v>324.67</v>
      </c>
      <c r="J749" s="15" t="s">
        <v>268</v>
      </c>
      <c r="K749" s="15" t="s">
        <v>269</v>
      </c>
    </row>
    <row r="750" customFormat="false" ht="18.75" hidden="false" customHeight="true" outlineLevel="0" collapsed="false">
      <c r="A750" s="10" t="s">
        <v>1455</v>
      </c>
      <c r="B750" s="10" t="s">
        <v>1456</v>
      </c>
      <c r="C750" s="10" t="s">
        <v>152</v>
      </c>
      <c r="D750" s="10" t="s">
        <v>35</v>
      </c>
      <c r="E750" s="10" t="s">
        <v>384</v>
      </c>
      <c r="F750" s="11" t="n">
        <v>112</v>
      </c>
      <c r="G750" s="11" t="n">
        <v>6</v>
      </c>
      <c r="H750" s="26" t="n">
        <v>1622.4</v>
      </c>
      <c r="I750" s="26" t="n">
        <f aca="false">H750/G750</f>
        <v>270.4</v>
      </c>
      <c r="J750" s="10" t="s">
        <v>268</v>
      </c>
      <c r="K750" s="10" t="s">
        <v>269</v>
      </c>
    </row>
    <row r="751" customFormat="false" ht="18.75" hidden="false" customHeight="true" outlineLevel="0" collapsed="false">
      <c r="A751" s="15" t="s">
        <v>1457</v>
      </c>
      <c r="B751" s="15" t="s">
        <v>1458</v>
      </c>
      <c r="C751" s="15" t="s">
        <v>155</v>
      </c>
      <c r="D751" s="15" t="s">
        <v>34</v>
      </c>
      <c r="E751" s="15" t="s">
        <v>284</v>
      </c>
      <c r="F751" s="16" t="n">
        <v>25</v>
      </c>
      <c r="G751" s="16" t="n">
        <v>1</v>
      </c>
      <c r="H751" s="29" t="n">
        <v>1618</v>
      </c>
      <c r="I751" s="29" t="n">
        <f aca="false">H751/G751</f>
        <v>1618</v>
      </c>
      <c r="J751" s="15" t="s">
        <v>280</v>
      </c>
      <c r="K751" s="15" t="s">
        <v>281</v>
      </c>
    </row>
    <row r="752" customFormat="false" ht="18.75" hidden="false" customHeight="true" outlineLevel="0" collapsed="false">
      <c r="A752" s="10" t="s">
        <v>1459</v>
      </c>
      <c r="B752" s="10" t="s">
        <v>264</v>
      </c>
      <c r="C752" s="10" t="s">
        <v>219</v>
      </c>
      <c r="D752" s="10" t="s">
        <v>35</v>
      </c>
      <c r="E752" s="10" t="s">
        <v>284</v>
      </c>
      <c r="F752" s="11" t="n">
        <v>95</v>
      </c>
      <c r="G752" s="11" t="n">
        <v>2</v>
      </c>
      <c r="H752" s="26" t="n">
        <v>1580.5</v>
      </c>
      <c r="I752" s="26" t="n">
        <f aca="false">H752/G752</f>
        <v>790.25</v>
      </c>
      <c r="J752" s="10" t="s">
        <v>253</v>
      </c>
      <c r="K752" s="10" t="s">
        <v>254</v>
      </c>
    </row>
    <row r="753" customFormat="false" ht="18.75" hidden="false" customHeight="true" outlineLevel="0" collapsed="false">
      <c r="A753" s="15" t="s">
        <v>1460</v>
      </c>
      <c r="B753" s="15" t="s">
        <v>1140</v>
      </c>
      <c r="C753" s="15" t="s">
        <v>216</v>
      </c>
      <c r="D753" s="15" t="s">
        <v>34</v>
      </c>
      <c r="E753" s="15" t="s">
        <v>284</v>
      </c>
      <c r="F753" s="16" t="n">
        <v>84</v>
      </c>
      <c r="G753" s="16" t="n">
        <v>1</v>
      </c>
      <c r="H753" s="29" t="n">
        <v>1579.25</v>
      </c>
      <c r="I753" s="29" t="n">
        <f aca="false">H753/G753</f>
        <v>1579.25</v>
      </c>
      <c r="J753" s="15" t="s">
        <v>253</v>
      </c>
      <c r="K753" s="15" t="s">
        <v>254</v>
      </c>
    </row>
    <row r="754" customFormat="false" ht="18.75" hidden="false" customHeight="true" outlineLevel="0" collapsed="false">
      <c r="A754" s="10" t="s">
        <v>1461</v>
      </c>
      <c r="B754" s="10" t="s">
        <v>985</v>
      </c>
      <c r="C754" s="10" t="s">
        <v>219</v>
      </c>
      <c r="D754" s="10" t="s">
        <v>35</v>
      </c>
      <c r="E754" s="10" t="s">
        <v>284</v>
      </c>
      <c r="F754" s="11" t="n">
        <v>93</v>
      </c>
      <c r="G754" s="11" t="n">
        <v>4</v>
      </c>
      <c r="H754" s="26" t="n">
        <v>1573.41</v>
      </c>
      <c r="I754" s="26" t="n">
        <f aca="false">H754/G754</f>
        <v>393.3525</v>
      </c>
      <c r="J754" s="10" t="s">
        <v>253</v>
      </c>
      <c r="K754" s="10" t="s">
        <v>254</v>
      </c>
    </row>
    <row r="755" customFormat="false" ht="18.75" hidden="false" customHeight="true" outlineLevel="0" collapsed="false">
      <c r="A755" s="15" t="s">
        <v>1462</v>
      </c>
      <c r="B755" s="15" t="s">
        <v>1463</v>
      </c>
      <c r="C755" s="15" t="s">
        <v>166</v>
      </c>
      <c r="D755" s="15" t="s">
        <v>35</v>
      </c>
      <c r="E755" s="15" t="s">
        <v>284</v>
      </c>
      <c r="F755" s="16" t="n">
        <v>131</v>
      </c>
      <c r="G755" s="16" t="n">
        <v>4</v>
      </c>
      <c r="H755" s="29" t="n">
        <v>1560.7</v>
      </c>
      <c r="I755" s="29" t="n">
        <f aca="false">H755/G755</f>
        <v>390.175</v>
      </c>
      <c r="J755" s="15" t="s">
        <v>253</v>
      </c>
      <c r="K755" s="15" t="s">
        <v>254</v>
      </c>
    </row>
    <row r="756" customFormat="false" ht="18.75" hidden="false" customHeight="true" outlineLevel="0" collapsed="false">
      <c r="A756" s="10" t="s">
        <v>1464</v>
      </c>
      <c r="B756" s="10" t="s">
        <v>1465</v>
      </c>
      <c r="C756" s="10" t="s">
        <v>163</v>
      </c>
      <c r="D756" s="10" t="s">
        <v>36</v>
      </c>
      <c r="E756" s="10" t="s">
        <v>284</v>
      </c>
      <c r="F756" s="11" t="n">
        <v>10</v>
      </c>
      <c r="G756" s="11" t="n">
        <v>4</v>
      </c>
      <c r="H756" s="26" t="n">
        <v>1558.79</v>
      </c>
      <c r="I756" s="26" t="n">
        <f aca="false">H756/G756</f>
        <v>389.6975</v>
      </c>
      <c r="J756" s="10" t="s">
        <v>280</v>
      </c>
      <c r="K756" s="10" t="s">
        <v>281</v>
      </c>
    </row>
    <row r="757" customFormat="false" ht="18.75" hidden="false" customHeight="true" outlineLevel="0" collapsed="false">
      <c r="A757" s="15" t="s">
        <v>1466</v>
      </c>
      <c r="B757" s="15" t="s">
        <v>1143</v>
      </c>
      <c r="C757" s="15" t="s">
        <v>181</v>
      </c>
      <c r="D757" s="15" t="s">
        <v>36</v>
      </c>
      <c r="E757" s="15" t="s">
        <v>284</v>
      </c>
      <c r="F757" s="16" t="n">
        <v>75</v>
      </c>
      <c r="G757" s="16" t="n">
        <v>2</v>
      </c>
      <c r="H757" s="29" t="n">
        <v>1556.22</v>
      </c>
      <c r="I757" s="29" t="n">
        <f aca="false">H757/G757</f>
        <v>778.11</v>
      </c>
      <c r="J757" s="15" t="s">
        <v>253</v>
      </c>
      <c r="K757" s="15" t="s">
        <v>254</v>
      </c>
    </row>
    <row r="758" customFormat="false" ht="18.75" hidden="false" customHeight="true" outlineLevel="0" collapsed="false">
      <c r="A758" s="10" t="s">
        <v>1467</v>
      </c>
      <c r="B758" s="10" t="s">
        <v>1468</v>
      </c>
      <c r="C758" s="10" t="s">
        <v>219</v>
      </c>
      <c r="D758" s="10" t="s">
        <v>35</v>
      </c>
      <c r="E758" s="10" t="s">
        <v>284</v>
      </c>
      <c r="F758" s="11" t="n">
        <v>358</v>
      </c>
      <c r="G758" s="11" t="n">
        <v>1</v>
      </c>
      <c r="H758" s="26" t="n">
        <v>1555.25</v>
      </c>
      <c r="I758" s="26" t="n">
        <f aca="false">H758/G758</f>
        <v>1555.25</v>
      </c>
      <c r="J758" s="10" t="s">
        <v>253</v>
      </c>
      <c r="K758" s="10" t="s">
        <v>254</v>
      </c>
    </row>
    <row r="759" customFormat="false" ht="18.75" hidden="false" customHeight="true" outlineLevel="0" collapsed="false">
      <c r="A759" s="15" t="s">
        <v>1469</v>
      </c>
      <c r="B759" s="15" t="s">
        <v>1470</v>
      </c>
      <c r="C759" s="15" t="s">
        <v>219</v>
      </c>
      <c r="D759" s="15" t="s">
        <v>35</v>
      </c>
      <c r="E759" s="15" t="s">
        <v>284</v>
      </c>
      <c r="F759" s="16" t="n">
        <v>6</v>
      </c>
      <c r="G759" s="16" t="n">
        <v>4</v>
      </c>
      <c r="H759" s="29" t="n">
        <v>1526.06</v>
      </c>
      <c r="I759" s="29" t="n">
        <f aca="false">H759/G759</f>
        <v>381.515</v>
      </c>
      <c r="J759" s="15" t="s">
        <v>280</v>
      </c>
      <c r="K759" s="15" t="s">
        <v>281</v>
      </c>
    </row>
    <row r="760" customFormat="false" ht="18.75" hidden="false" customHeight="true" outlineLevel="0" collapsed="false">
      <c r="A760" s="10" t="s">
        <v>1471</v>
      </c>
      <c r="B760" s="10" t="s">
        <v>258</v>
      </c>
      <c r="C760" s="10" t="s">
        <v>207</v>
      </c>
      <c r="D760" s="10" t="s">
        <v>35</v>
      </c>
      <c r="E760" s="10" t="s">
        <v>284</v>
      </c>
      <c r="F760" s="11" t="n">
        <v>117</v>
      </c>
      <c r="G760" s="11" t="n">
        <v>2</v>
      </c>
      <c r="H760" s="26" t="n">
        <v>1524.75</v>
      </c>
      <c r="I760" s="26" t="n">
        <f aca="false">H760/G760</f>
        <v>762.375</v>
      </c>
      <c r="J760" s="10" t="s">
        <v>253</v>
      </c>
      <c r="K760" s="10" t="s">
        <v>254</v>
      </c>
    </row>
    <row r="761" customFormat="false" ht="18.75" hidden="false" customHeight="true" outlineLevel="0" collapsed="false">
      <c r="A761" s="15" t="s">
        <v>1472</v>
      </c>
      <c r="B761" s="15" t="s">
        <v>1473</v>
      </c>
      <c r="C761" s="15" t="s">
        <v>184</v>
      </c>
      <c r="D761" s="15" t="s">
        <v>34</v>
      </c>
      <c r="E761" s="15" t="s">
        <v>284</v>
      </c>
      <c r="F761" s="16" t="n">
        <v>28</v>
      </c>
      <c r="G761" s="16" t="n">
        <v>4</v>
      </c>
      <c r="H761" s="29" t="n">
        <v>1506.77</v>
      </c>
      <c r="I761" s="29" t="n">
        <f aca="false">H761/G761</f>
        <v>376.6925</v>
      </c>
      <c r="J761" s="15" t="s">
        <v>280</v>
      </c>
      <c r="K761" s="15" t="s">
        <v>281</v>
      </c>
    </row>
    <row r="762" customFormat="false" ht="18.75" hidden="false" customHeight="true" outlineLevel="0" collapsed="false">
      <c r="A762" s="10" t="s">
        <v>1474</v>
      </c>
      <c r="B762" s="10" t="s">
        <v>1475</v>
      </c>
      <c r="C762" s="10" t="s">
        <v>160</v>
      </c>
      <c r="D762" s="10" t="s">
        <v>36</v>
      </c>
      <c r="E762" s="10" t="s">
        <v>284</v>
      </c>
      <c r="F762" s="11" t="n">
        <v>20</v>
      </c>
      <c r="G762" s="11" t="n">
        <v>2</v>
      </c>
      <c r="H762" s="26" t="n">
        <v>1503.61</v>
      </c>
      <c r="I762" s="26" t="n">
        <f aca="false">H762/G762</f>
        <v>751.805</v>
      </c>
      <c r="J762" s="10" t="s">
        <v>280</v>
      </c>
      <c r="K762" s="10" t="s">
        <v>281</v>
      </c>
    </row>
    <row r="763" customFormat="false" ht="18.75" hidden="false" customHeight="true" outlineLevel="0" collapsed="false">
      <c r="A763" s="15" t="s">
        <v>1476</v>
      </c>
      <c r="B763" s="15" t="s">
        <v>770</v>
      </c>
      <c r="C763" s="15" t="s">
        <v>181</v>
      </c>
      <c r="D763" s="15" t="s">
        <v>36</v>
      </c>
      <c r="E763" s="15" t="s">
        <v>284</v>
      </c>
      <c r="F763" s="16" t="n">
        <v>0</v>
      </c>
      <c r="G763" s="16" t="n">
        <v>5</v>
      </c>
      <c r="H763" s="29" t="n">
        <v>1501.54</v>
      </c>
      <c r="I763" s="29" t="n">
        <f aca="false">H763/G763</f>
        <v>300.308</v>
      </c>
      <c r="J763" s="15" t="s">
        <v>268</v>
      </c>
      <c r="K763" s="15" t="s">
        <v>269</v>
      </c>
    </row>
    <row r="764" customFormat="false" ht="18.75" hidden="false" customHeight="true" outlineLevel="0" collapsed="false">
      <c r="A764" s="10" t="s">
        <v>1477</v>
      </c>
      <c r="B764" s="10" t="s">
        <v>1478</v>
      </c>
      <c r="C764" s="10" t="s">
        <v>216</v>
      </c>
      <c r="D764" s="10" t="s">
        <v>34</v>
      </c>
      <c r="E764" s="10" t="s">
        <v>284</v>
      </c>
      <c r="F764" s="11" t="n">
        <v>109</v>
      </c>
      <c r="G764" s="11" t="n">
        <v>3</v>
      </c>
      <c r="H764" s="26" t="n">
        <v>1488.76</v>
      </c>
      <c r="I764" s="26" t="n">
        <f aca="false">H764/G764</f>
        <v>496.253333333333</v>
      </c>
      <c r="J764" s="10" t="s">
        <v>253</v>
      </c>
      <c r="K764" s="10" t="s">
        <v>254</v>
      </c>
    </row>
    <row r="765" customFormat="false" ht="18.75" hidden="false" customHeight="true" outlineLevel="0" collapsed="false">
      <c r="A765" s="15" t="s">
        <v>1479</v>
      </c>
      <c r="B765" s="15" t="s">
        <v>1480</v>
      </c>
      <c r="C765" s="15" t="s">
        <v>146</v>
      </c>
      <c r="D765" s="15" t="s">
        <v>34</v>
      </c>
      <c r="E765" s="15" t="s">
        <v>284</v>
      </c>
      <c r="F765" s="16" t="n">
        <v>39</v>
      </c>
      <c r="G765" s="16" t="n">
        <v>5</v>
      </c>
      <c r="H765" s="29" t="n">
        <v>1474.28</v>
      </c>
      <c r="I765" s="29" t="n">
        <f aca="false">H765/G765</f>
        <v>294.856</v>
      </c>
      <c r="J765" s="15" t="s">
        <v>268</v>
      </c>
      <c r="K765" s="15" t="s">
        <v>269</v>
      </c>
    </row>
    <row r="766" customFormat="false" ht="18.75" hidden="false" customHeight="true" outlineLevel="0" collapsed="false">
      <c r="A766" s="10" t="s">
        <v>1481</v>
      </c>
      <c r="B766" s="10" t="s">
        <v>1482</v>
      </c>
      <c r="C766" s="10" t="s">
        <v>155</v>
      </c>
      <c r="D766" s="10" t="s">
        <v>34</v>
      </c>
      <c r="E766" s="10" t="s">
        <v>284</v>
      </c>
      <c r="F766" s="11" t="n">
        <v>25</v>
      </c>
      <c r="G766" s="11" t="n">
        <v>5</v>
      </c>
      <c r="H766" s="26" t="n">
        <v>1470.2</v>
      </c>
      <c r="I766" s="26" t="n">
        <f aca="false">H766/G766</f>
        <v>294.04</v>
      </c>
      <c r="J766" s="10" t="s">
        <v>268</v>
      </c>
      <c r="K766" s="10" t="s">
        <v>269</v>
      </c>
    </row>
    <row r="767" customFormat="false" ht="18.75" hidden="false" customHeight="true" outlineLevel="0" collapsed="false">
      <c r="A767" s="15" t="s">
        <v>1483</v>
      </c>
      <c r="B767" s="15" t="s">
        <v>416</v>
      </c>
      <c r="C767" s="15" t="s">
        <v>207</v>
      </c>
      <c r="D767" s="15" t="s">
        <v>35</v>
      </c>
      <c r="E767" s="15" t="s">
        <v>284</v>
      </c>
      <c r="F767" s="16" t="n">
        <v>29</v>
      </c>
      <c r="G767" s="16" t="n">
        <v>3</v>
      </c>
      <c r="H767" s="29" t="n">
        <v>1466.7</v>
      </c>
      <c r="I767" s="29" t="n">
        <f aca="false">H767/G767</f>
        <v>488.9</v>
      </c>
      <c r="J767" s="15" t="s">
        <v>280</v>
      </c>
      <c r="K767" s="15" t="s">
        <v>281</v>
      </c>
    </row>
    <row r="768" customFormat="false" ht="18.75" hidden="false" customHeight="true" outlineLevel="0" collapsed="false">
      <c r="A768" s="10" t="s">
        <v>1484</v>
      </c>
      <c r="B768" s="10" t="s">
        <v>772</v>
      </c>
      <c r="C768" s="10" t="s">
        <v>226</v>
      </c>
      <c r="D768" s="10" t="s">
        <v>36</v>
      </c>
      <c r="E768" s="10" t="s">
        <v>284</v>
      </c>
      <c r="F768" s="11" t="n">
        <v>109</v>
      </c>
      <c r="G768" s="11" t="n">
        <v>5</v>
      </c>
      <c r="H768" s="26" t="n">
        <v>1466.05</v>
      </c>
      <c r="I768" s="26" t="n">
        <f aca="false">H768/G768</f>
        <v>293.21</v>
      </c>
      <c r="J768" s="10" t="s">
        <v>268</v>
      </c>
      <c r="K768" s="10" t="s">
        <v>269</v>
      </c>
    </row>
    <row r="769" customFormat="false" ht="18.75" hidden="false" customHeight="true" outlineLevel="0" collapsed="false">
      <c r="A769" s="15" t="s">
        <v>1485</v>
      </c>
      <c r="B769" s="15" t="s">
        <v>1241</v>
      </c>
      <c r="C769" s="15" t="s">
        <v>163</v>
      </c>
      <c r="D769" s="15" t="s">
        <v>36</v>
      </c>
      <c r="E769" s="15" t="s">
        <v>284</v>
      </c>
      <c r="F769" s="16" t="n">
        <v>34</v>
      </c>
      <c r="G769" s="16" t="n">
        <v>4</v>
      </c>
      <c r="H769" s="29" t="n">
        <v>1449.84</v>
      </c>
      <c r="I769" s="29" t="n">
        <f aca="false">H769/G769</f>
        <v>362.46</v>
      </c>
      <c r="J769" s="15" t="s">
        <v>280</v>
      </c>
      <c r="K769" s="15" t="s">
        <v>281</v>
      </c>
    </row>
    <row r="770" customFormat="false" ht="18.75" hidden="false" customHeight="true" outlineLevel="0" collapsed="false">
      <c r="A770" s="10" t="s">
        <v>1486</v>
      </c>
      <c r="B770" s="10" t="s">
        <v>1487</v>
      </c>
      <c r="C770" s="10" t="s">
        <v>216</v>
      </c>
      <c r="D770" s="10" t="s">
        <v>34</v>
      </c>
      <c r="E770" s="10" t="s">
        <v>284</v>
      </c>
      <c r="F770" s="11" t="n">
        <v>61</v>
      </c>
      <c r="G770" s="11" t="n">
        <v>3</v>
      </c>
      <c r="H770" s="26" t="n">
        <v>1442.7</v>
      </c>
      <c r="I770" s="26" t="n">
        <f aca="false">H770/G770</f>
        <v>480.9</v>
      </c>
      <c r="J770" s="10" t="s">
        <v>253</v>
      </c>
      <c r="K770" s="10" t="s">
        <v>254</v>
      </c>
    </row>
    <row r="771" customFormat="false" ht="18.75" hidden="false" customHeight="true" outlineLevel="0" collapsed="false">
      <c r="A771" s="15" t="s">
        <v>1488</v>
      </c>
      <c r="B771" s="15" t="s">
        <v>1489</v>
      </c>
      <c r="C771" s="15" t="s">
        <v>155</v>
      </c>
      <c r="D771" s="15" t="s">
        <v>34</v>
      </c>
      <c r="E771" s="15" t="s">
        <v>284</v>
      </c>
      <c r="F771" s="16" t="n">
        <v>79</v>
      </c>
      <c r="G771" s="16" t="n">
        <v>3</v>
      </c>
      <c r="H771" s="29" t="n">
        <v>1437.77</v>
      </c>
      <c r="I771" s="29" t="n">
        <f aca="false">H771/G771</f>
        <v>479.256666666667</v>
      </c>
      <c r="J771" s="15" t="s">
        <v>253</v>
      </c>
      <c r="K771" s="15" t="s">
        <v>254</v>
      </c>
    </row>
    <row r="772" customFormat="false" ht="18.75" hidden="false" customHeight="true" outlineLevel="0" collapsed="false">
      <c r="A772" s="10" t="s">
        <v>1490</v>
      </c>
      <c r="B772" s="10" t="s">
        <v>1491</v>
      </c>
      <c r="C772" s="10" t="s">
        <v>226</v>
      </c>
      <c r="D772" s="10" t="s">
        <v>36</v>
      </c>
      <c r="E772" s="10" t="s">
        <v>284</v>
      </c>
      <c r="F772" s="11" t="n">
        <v>26</v>
      </c>
      <c r="G772" s="11" t="n">
        <v>4</v>
      </c>
      <c r="H772" s="26" t="n">
        <v>1436</v>
      </c>
      <c r="I772" s="26" t="n">
        <f aca="false">H772/G772</f>
        <v>359</v>
      </c>
      <c r="J772" s="10" t="s">
        <v>280</v>
      </c>
      <c r="K772" s="10" t="s">
        <v>281</v>
      </c>
    </row>
    <row r="773" customFormat="false" ht="18.75" hidden="false" customHeight="true" outlineLevel="0" collapsed="false">
      <c r="A773" s="15" t="s">
        <v>1492</v>
      </c>
      <c r="B773" s="15" t="s">
        <v>1268</v>
      </c>
      <c r="C773" s="15" t="s">
        <v>216</v>
      </c>
      <c r="D773" s="15" t="s">
        <v>34</v>
      </c>
      <c r="E773" s="15" t="s">
        <v>284</v>
      </c>
      <c r="F773" s="16" t="n">
        <v>111</v>
      </c>
      <c r="G773" s="16" t="n">
        <v>3</v>
      </c>
      <c r="H773" s="29" t="n">
        <v>1422.15</v>
      </c>
      <c r="I773" s="29" t="n">
        <f aca="false">H773/G773</f>
        <v>474.05</v>
      </c>
      <c r="J773" s="15" t="s">
        <v>253</v>
      </c>
      <c r="K773" s="15" t="s">
        <v>254</v>
      </c>
    </row>
    <row r="774" customFormat="false" ht="18.75" hidden="false" customHeight="true" outlineLevel="0" collapsed="false">
      <c r="A774" s="10" t="s">
        <v>1493</v>
      </c>
      <c r="B774" s="10" t="s">
        <v>1494</v>
      </c>
      <c r="C774" s="10" t="s">
        <v>226</v>
      </c>
      <c r="D774" s="10" t="s">
        <v>36</v>
      </c>
      <c r="E774" s="10" t="s">
        <v>284</v>
      </c>
      <c r="F774" s="11" t="n">
        <v>18</v>
      </c>
      <c r="G774" s="11" t="n">
        <v>3</v>
      </c>
      <c r="H774" s="26" t="n">
        <v>1415.75</v>
      </c>
      <c r="I774" s="26" t="n">
        <f aca="false">H774/G774</f>
        <v>471.916666666667</v>
      </c>
      <c r="J774" s="10" t="s">
        <v>280</v>
      </c>
      <c r="K774" s="10" t="s">
        <v>281</v>
      </c>
    </row>
    <row r="775" customFormat="false" ht="18.75" hidden="false" customHeight="true" outlineLevel="0" collapsed="false">
      <c r="A775" s="15" t="s">
        <v>1495</v>
      </c>
      <c r="B775" s="15" t="s">
        <v>1496</v>
      </c>
      <c r="C775" s="15" t="s">
        <v>149</v>
      </c>
      <c r="D775" s="15" t="s">
        <v>35</v>
      </c>
      <c r="E775" s="15" t="s">
        <v>284</v>
      </c>
      <c r="F775" s="16" t="n">
        <v>130</v>
      </c>
      <c r="G775" s="16" t="n">
        <v>4</v>
      </c>
      <c r="H775" s="29" t="n">
        <v>1414.07</v>
      </c>
      <c r="I775" s="29" t="n">
        <f aca="false">H775/G775</f>
        <v>353.5175</v>
      </c>
      <c r="J775" s="15" t="s">
        <v>253</v>
      </c>
      <c r="K775" s="15" t="s">
        <v>254</v>
      </c>
    </row>
    <row r="776" customFormat="false" ht="18.75" hidden="false" customHeight="true" outlineLevel="0" collapsed="false">
      <c r="A776" s="10" t="s">
        <v>1497</v>
      </c>
      <c r="B776" s="10" t="s">
        <v>1498</v>
      </c>
      <c r="C776" s="10" t="s">
        <v>219</v>
      </c>
      <c r="D776" s="10" t="s">
        <v>35</v>
      </c>
      <c r="E776" s="10" t="s">
        <v>284</v>
      </c>
      <c r="F776" s="11" t="n">
        <v>179</v>
      </c>
      <c r="G776" s="11" t="n">
        <v>3</v>
      </c>
      <c r="H776" s="26" t="n">
        <v>1413.65</v>
      </c>
      <c r="I776" s="26" t="n">
        <f aca="false">H776/G776</f>
        <v>471.216666666667</v>
      </c>
      <c r="J776" s="10" t="s">
        <v>253</v>
      </c>
      <c r="K776" s="10" t="s">
        <v>254</v>
      </c>
    </row>
    <row r="777" customFormat="false" ht="18.75" hidden="false" customHeight="true" outlineLevel="0" collapsed="false">
      <c r="A777" s="15" t="s">
        <v>1499</v>
      </c>
      <c r="B777" s="15" t="s">
        <v>236</v>
      </c>
      <c r="C777" s="15" t="s">
        <v>163</v>
      </c>
      <c r="D777" s="15" t="s">
        <v>36</v>
      </c>
      <c r="E777" s="15" t="s">
        <v>284</v>
      </c>
      <c r="F777" s="16" t="n">
        <v>133</v>
      </c>
      <c r="G777" s="16" t="n">
        <v>5</v>
      </c>
      <c r="H777" s="29" t="n">
        <v>1410.32</v>
      </c>
      <c r="I777" s="29" t="n">
        <f aca="false">H777/G777</f>
        <v>282.064</v>
      </c>
      <c r="J777" s="15" t="s">
        <v>268</v>
      </c>
      <c r="K777" s="15" t="s">
        <v>269</v>
      </c>
    </row>
    <row r="778" customFormat="false" ht="18.75" hidden="false" customHeight="true" outlineLevel="0" collapsed="false">
      <c r="A778" s="10" t="s">
        <v>1500</v>
      </c>
      <c r="B778" s="10" t="s">
        <v>1501</v>
      </c>
      <c r="C778" s="10" t="s">
        <v>155</v>
      </c>
      <c r="D778" s="10" t="s">
        <v>34</v>
      </c>
      <c r="E778" s="10" t="s">
        <v>284</v>
      </c>
      <c r="F778" s="11" t="n">
        <v>50</v>
      </c>
      <c r="G778" s="11" t="n">
        <v>2</v>
      </c>
      <c r="H778" s="26" t="n">
        <v>1410.25</v>
      </c>
      <c r="I778" s="26" t="n">
        <f aca="false">H778/G778</f>
        <v>705.125</v>
      </c>
      <c r="J778" s="10" t="s">
        <v>253</v>
      </c>
      <c r="K778" s="10" t="s">
        <v>254</v>
      </c>
    </row>
    <row r="779" customFormat="false" ht="18.75" hidden="false" customHeight="true" outlineLevel="0" collapsed="false">
      <c r="A779" s="15" t="s">
        <v>1502</v>
      </c>
      <c r="B779" s="15" t="s">
        <v>1503</v>
      </c>
      <c r="C779" s="15" t="s">
        <v>219</v>
      </c>
      <c r="D779" s="15" t="s">
        <v>35</v>
      </c>
      <c r="E779" s="15" t="s">
        <v>284</v>
      </c>
      <c r="F779" s="16" t="n">
        <v>70</v>
      </c>
      <c r="G779" s="16" t="n">
        <v>5</v>
      </c>
      <c r="H779" s="29" t="n">
        <v>1408.9</v>
      </c>
      <c r="I779" s="29" t="n">
        <f aca="false">H779/G779</f>
        <v>281.78</v>
      </c>
      <c r="J779" s="15" t="s">
        <v>189</v>
      </c>
      <c r="K779" s="15" t="s">
        <v>190</v>
      </c>
    </row>
    <row r="780" customFormat="false" ht="18.75" hidden="false" customHeight="true" outlineLevel="0" collapsed="false">
      <c r="A780" s="10" t="s">
        <v>1504</v>
      </c>
      <c r="B780" s="10" t="s">
        <v>1505</v>
      </c>
      <c r="C780" s="10" t="s">
        <v>146</v>
      </c>
      <c r="D780" s="10" t="s">
        <v>34</v>
      </c>
      <c r="E780" s="10" t="s">
        <v>284</v>
      </c>
      <c r="F780" s="11" t="n">
        <v>5</v>
      </c>
      <c r="G780" s="11" t="n">
        <v>4</v>
      </c>
      <c r="H780" s="26" t="n">
        <v>1407.59</v>
      </c>
      <c r="I780" s="26" t="n">
        <f aca="false">H780/G780</f>
        <v>351.8975</v>
      </c>
      <c r="J780" s="10" t="s">
        <v>280</v>
      </c>
      <c r="K780" s="10" t="s">
        <v>281</v>
      </c>
    </row>
    <row r="781" customFormat="false" ht="18.75" hidden="false" customHeight="true" outlineLevel="0" collapsed="false">
      <c r="A781" s="15" t="s">
        <v>1506</v>
      </c>
      <c r="B781" s="15" t="s">
        <v>866</v>
      </c>
      <c r="C781" s="15" t="s">
        <v>226</v>
      </c>
      <c r="D781" s="15" t="s">
        <v>36</v>
      </c>
      <c r="E781" s="15" t="s">
        <v>284</v>
      </c>
      <c r="F781" s="16" t="n">
        <v>189</v>
      </c>
      <c r="G781" s="16" t="n">
        <v>3</v>
      </c>
      <c r="H781" s="29" t="n">
        <v>1398.2</v>
      </c>
      <c r="I781" s="29" t="n">
        <f aca="false">H781/G781</f>
        <v>466.066666666667</v>
      </c>
      <c r="J781" s="15" t="s">
        <v>253</v>
      </c>
      <c r="K781" s="15" t="s">
        <v>254</v>
      </c>
    </row>
    <row r="782" customFormat="false" ht="18.75" hidden="false" customHeight="true" outlineLevel="0" collapsed="false">
      <c r="A782" s="10" t="s">
        <v>1507</v>
      </c>
      <c r="B782" s="10" t="s">
        <v>927</v>
      </c>
      <c r="C782" s="10" t="s">
        <v>146</v>
      </c>
      <c r="D782" s="10" t="s">
        <v>34</v>
      </c>
      <c r="E782" s="10" t="s">
        <v>284</v>
      </c>
      <c r="F782" s="11" t="n">
        <v>109</v>
      </c>
      <c r="G782" s="11" t="n">
        <v>3</v>
      </c>
      <c r="H782" s="26" t="n">
        <v>1388.35</v>
      </c>
      <c r="I782" s="26" t="n">
        <f aca="false">H782/G782</f>
        <v>462.783333333333</v>
      </c>
      <c r="J782" s="10" t="s">
        <v>253</v>
      </c>
      <c r="K782" s="10" t="s">
        <v>254</v>
      </c>
    </row>
    <row r="783" customFormat="false" ht="18.75" hidden="false" customHeight="true" outlineLevel="0" collapsed="false">
      <c r="A783" s="15" t="s">
        <v>1508</v>
      </c>
      <c r="B783" s="15" t="s">
        <v>1509</v>
      </c>
      <c r="C783" s="15" t="s">
        <v>207</v>
      </c>
      <c r="D783" s="15" t="s">
        <v>35</v>
      </c>
      <c r="E783" s="15" t="s">
        <v>284</v>
      </c>
      <c r="F783" s="16" t="n">
        <v>71</v>
      </c>
      <c r="G783" s="16" t="n">
        <v>3</v>
      </c>
      <c r="H783" s="29" t="n">
        <v>1386.72</v>
      </c>
      <c r="I783" s="29" t="n">
        <f aca="false">H783/G783</f>
        <v>462.24</v>
      </c>
      <c r="J783" s="15" t="s">
        <v>253</v>
      </c>
      <c r="K783" s="15" t="s">
        <v>254</v>
      </c>
    </row>
    <row r="784" customFormat="false" ht="18.75" hidden="false" customHeight="true" outlineLevel="0" collapsed="false">
      <c r="A784" s="10" t="s">
        <v>1510</v>
      </c>
      <c r="B784" s="10" t="s">
        <v>870</v>
      </c>
      <c r="C784" s="10" t="s">
        <v>163</v>
      </c>
      <c r="D784" s="10" t="s">
        <v>36</v>
      </c>
      <c r="E784" s="10" t="s">
        <v>284</v>
      </c>
      <c r="F784" s="11" t="n">
        <v>81</v>
      </c>
      <c r="G784" s="11" t="n">
        <v>3</v>
      </c>
      <c r="H784" s="26" t="n">
        <v>1383.25</v>
      </c>
      <c r="I784" s="26" t="n">
        <f aca="false">H784/G784</f>
        <v>461.083333333333</v>
      </c>
      <c r="J784" s="10" t="s">
        <v>253</v>
      </c>
      <c r="K784" s="10" t="s">
        <v>254</v>
      </c>
    </row>
    <row r="785" customFormat="false" ht="18.75" hidden="false" customHeight="true" outlineLevel="0" collapsed="false">
      <c r="A785" s="15" t="s">
        <v>1511</v>
      </c>
      <c r="B785" s="15" t="s">
        <v>435</v>
      </c>
      <c r="C785" s="15" t="s">
        <v>146</v>
      </c>
      <c r="D785" s="15" t="s">
        <v>34</v>
      </c>
      <c r="E785" s="15" t="s">
        <v>284</v>
      </c>
      <c r="F785" s="16" t="n">
        <v>136</v>
      </c>
      <c r="G785" s="16" t="n">
        <v>4</v>
      </c>
      <c r="H785" s="29" t="n">
        <v>1364.47</v>
      </c>
      <c r="I785" s="29" t="n">
        <f aca="false">H785/G785</f>
        <v>341.1175</v>
      </c>
      <c r="J785" s="15" t="s">
        <v>253</v>
      </c>
      <c r="K785" s="15" t="s">
        <v>254</v>
      </c>
    </row>
    <row r="786" customFormat="false" ht="18.75" hidden="false" customHeight="true" outlineLevel="0" collapsed="false">
      <c r="A786" s="10" t="s">
        <v>1512</v>
      </c>
      <c r="B786" s="10" t="s">
        <v>1016</v>
      </c>
      <c r="C786" s="10" t="s">
        <v>149</v>
      </c>
      <c r="D786" s="10" t="s">
        <v>35</v>
      </c>
      <c r="E786" s="10" t="s">
        <v>284</v>
      </c>
      <c r="F786" s="11" t="n">
        <v>7</v>
      </c>
      <c r="G786" s="11" t="n">
        <v>2</v>
      </c>
      <c r="H786" s="26" t="n">
        <v>1355.5</v>
      </c>
      <c r="I786" s="26" t="n">
        <f aca="false">H786/G786</f>
        <v>677.75</v>
      </c>
      <c r="J786" s="10" t="s">
        <v>280</v>
      </c>
      <c r="K786" s="10" t="s">
        <v>281</v>
      </c>
    </row>
    <row r="787" customFormat="false" ht="18.75" hidden="false" customHeight="true" outlineLevel="0" collapsed="false">
      <c r="A787" s="15" t="s">
        <v>1513</v>
      </c>
      <c r="B787" s="15" t="s">
        <v>1514</v>
      </c>
      <c r="C787" s="15" t="s">
        <v>219</v>
      </c>
      <c r="D787" s="15" t="s">
        <v>35</v>
      </c>
      <c r="E787" s="15" t="s">
        <v>284</v>
      </c>
      <c r="F787" s="16" t="n">
        <v>82</v>
      </c>
      <c r="G787" s="16" t="n">
        <v>2</v>
      </c>
      <c r="H787" s="29" t="n">
        <v>1334.96</v>
      </c>
      <c r="I787" s="29" t="n">
        <f aca="false">H787/G787</f>
        <v>667.48</v>
      </c>
      <c r="J787" s="15" t="s">
        <v>253</v>
      </c>
      <c r="K787" s="15" t="s">
        <v>254</v>
      </c>
    </row>
    <row r="788" customFormat="false" ht="18.75" hidden="false" customHeight="true" outlineLevel="0" collapsed="false">
      <c r="A788" s="10" t="s">
        <v>1515</v>
      </c>
      <c r="B788" s="10" t="s">
        <v>1516</v>
      </c>
      <c r="C788" s="10" t="s">
        <v>155</v>
      </c>
      <c r="D788" s="10" t="s">
        <v>34</v>
      </c>
      <c r="E788" s="10" t="s">
        <v>284</v>
      </c>
      <c r="F788" s="11" t="n">
        <v>53</v>
      </c>
      <c r="G788" s="11" t="n">
        <v>8</v>
      </c>
      <c r="H788" s="26" t="n">
        <v>1327.73</v>
      </c>
      <c r="I788" s="26" t="n">
        <f aca="false">H788/G788</f>
        <v>165.96625</v>
      </c>
      <c r="J788" s="10" t="s">
        <v>189</v>
      </c>
      <c r="K788" s="10" t="s">
        <v>190</v>
      </c>
    </row>
    <row r="789" customFormat="false" ht="18.75" hidden="false" customHeight="true" outlineLevel="0" collapsed="false">
      <c r="A789" s="15" t="s">
        <v>1517</v>
      </c>
      <c r="B789" s="15" t="s">
        <v>641</v>
      </c>
      <c r="C789" s="15" t="s">
        <v>181</v>
      </c>
      <c r="D789" s="15" t="s">
        <v>36</v>
      </c>
      <c r="E789" s="15" t="s">
        <v>384</v>
      </c>
      <c r="F789" s="16" t="n">
        <v>97</v>
      </c>
      <c r="G789" s="16" t="n">
        <v>2</v>
      </c>
      <c r="H789" s="29" t="n">
        <v>1323.53</v>
      </c>
      <c r="I789" s="29" t="n">
        <f aca="false">H789/G789</f>
        <v>661.765</v>
      </c>
      <c r="J789" s="15" t="s">
        <v>253</v>
      </c>
      <c r="K789" s="15" t="s">
        <v>254</v>
      </c>
    </row>
    <row r="790" customFormat="false" ht="18.75" hidden="false" customHeight="true" outlineLevel="0" collapsed="false">
      <c r="A790" s="10" t="s">
        <v>1518</v>
      </c>
      <c r="B790" s="10" t="s">
        <v>154</v>
      </c>
      <c r="C790" s="10" t="s">
        <v>207</v>
      </c>
      <c r="D790" s="10" t="s">
        <v>35</v>
      </c>
      <c r="E790" s="10" t="s">
        <v>284</v>
      </c>
      <c r="F790" s="11" t="n">
        <v>44</v>
      </c>
      <c r="G790" s="11" t="n">
        <v>4</v>
      </c>
      <c r="H790" s="26" t="n">
        <v>1321.34</v>
      </c>
      <c r="I790" s="26" t="n">
        <f aca="false">H790/G790</f>
        <v>330.335</v>
      </c>
      <c r="J790" s="10" t="s">
        <v>280</v>
      </c>
      <c r="K790" s="10" t="s">
        <v>281</v>
      </c>
    </row>
    <row r="791" customFormat="false" ht="18.75" hidden="false" customHeight="true" outlineLevel="0" collapsed="false">
      <c r="A791" s="15" t="s">
        <v>1519</v>
      </c>
      <c r="B791" s="15" t="s">
        <v>920</v>
      </c>
      <c r="C791" s="15" t="s">
        <v>226</v>
      </c>
      <c r="D791" s="15" t="s">
        <v>36</v>
      </c>
      <c r="E791" s="15" t="s">
        <v>284</v>
      </c>
      <c r="F791" s="16" t="n">
        <v>23</v>
      </c>
      <c r="G791" s="16" t="n">
        <v>4</v>
      </c>
      <c r="H791" s="29" t="n">
        <v>1315.24</v>
      </c>
      <c r="I791" s="29" t="n">
        <f aca="false">H791/G791</f>
        <v>328.81</v>
      </c>
      <c r="J791" s="15" t="s">
        <v>280</v>
      </c>
      <c r="K791" s="15" t="s">
        <v>281</v>
      </c>
    </row>
    <row r="792" customFormat="false" ht="18.75" hidden="false" customHeight="true" outlineLevel="0" collapsed="false">
      <c r="A792" s="10" t="s">
        <v>1520</v>
      </c>
      <c r="B792" s="10" t="s">
        <v>1219</v>
      </c>
      <c r="C792" s="10" t="s">
        <v>181</v>
      </c>
      <c r="D792" s="10" t="s">
        <v>36</v>
      </c>
      <c r="E792" s="10" t="s">
        <v>284</v>
      </c>
      <c r="F792" s="11" t="n">
        <v>18</v>
      </c>
      <c r="G792" s="11" t="n">
        <v>3</v>
      </c>
      <c r="H792" s="26" t="n">
        <v>1312.8</v>
      </c>
      <c r="I792" s="26" t="n">
        <f aca="false">H792/G792</f>
        <v>437.6</v>
      </c>
      <c r="J792" s="10" t="s">
        <v>280</v>
      </c>
      <c r="K792" s="10" t="s">
        <v>281</v>
      </c>
    </row>
    <row r="793" customFormat="false" ht="18.75" hidden="false" customHeight="true" outlineLevel="0" collapsed="false">
      <c r="A793" s="15" t="s">
        <v>1521</v>
      </c>
      <c r="B793" s="15" t="s">
        <v>1522</v>
      </c>
      <c r="C793" s="15" t="s">
        <v>207</v>
      </c>
      <c r="D793" s="15" t="s">
        <v>35</v>
      </c>
      <c r="E793" s="15" t="s">
        <v>284</v>
      </c>
      <c r="F793" s="16" t="n">
        <v>208</v>
      </c>
      <c r="G793" s="16" t="n">
        <v>2</v>
      </c>
      <c r="H793" s="29" t="n">
        <v>1308.74</v>
      </c>
      <c r="I793" s="29" t="n">
        <f aca="false">H793/G793</f>
        <v>654.37</v>
      </c>
      <c r="J793" s="15" t="s">
        <v>253</v>
      </c>
      <c r="K793" s="15" t="s">
        <v>254</v>
      </c>
    </row>
    <row r="794" customFormat="false" ht="18.75" hidden="false" customHeight="true" outlineLevel="0" collapsed="false">
      <c r="A794" s="10" t="s">
        <v>1523</v>
      </c>
      <c r="B794" s="10" t="s">
        <v>766</v>
      </c>
      <c r="C794" s="10" t="s">
        <v>216</v>
      </c>
      <c r="D794" s="10" t="s">
        <v>34</v>
      </c>
      <c r="E794" s="10" t="s">
        <v>284</v>
      </c>
      <c r="F794" s="11" t="n">
        <v>34</v>
      </c>
      <c r="G794" s="11" t="n">
        <v>3</v>
      </c>
      <c r="H794" s="26" t="n">
        <v>1308.73</v>
      </c>
      <c r="I794" s="26" t="n">
        <f aca="false">H794/G794</f>
        <v>436.243333333333</v>
      </c>
      <c r="J794" s="10" t="s">
        <v>280</v>
      </c>
      <c r="K794" s="10" t="s">
        <v>281</v>
      </c>
    </row>
    <row r="795" customFormat="false" ht="18.75" hidden="false" customHeight="true" outlineLevel="0" collapsed="false">
      <c r="A795" s="15" t="s">
        <v>1524</v>
      </c>
      <c r="B795" s="15" t="s">
        <v>1525</v>
      </c>
      <c r="C795" s="15" t="s">
        <v>152</v>
      </c>
      <c r="D795" s="15" t="s">
        <v>35</v>
      </c>
      <c r="E795" s="15" t="s">
        <v>284</v>
      </c>
      <c r="F795" s="16" t="n">
        <v>13</v>
      </c>
      <c r="G795" s="16" t="n">
        <v>3</v>
      </c>
      <c r="H795" s="29" t="n">
        <v>1303.58</v>
      </c>
      <c r="I795" s="29" t="n">
        <f aca="false">H795/G795</f>
        <v>434.526666666667</v>
      </c>
      <c r="J795" s="15" t="s">
        <v>280</v>
      </c>
      <c r="K795" s="15" t="s">
        <v>281</v>
      </c>
    </row>
    <row r="796" customFormat="false" ht="18.75" hidden="false" customHeight="true" outlineLevel="0" collapsed="false">
      <c r="A796" s="10" t="s">
        <v>1526</v>
      </c>
      <c r="B796" s="10" t="s">
        <v>559</v>
      </c>
      <c r="C796" s="10" t="s">
        <v>160</v>
      </c>
      <c r="D796" s="10" t="s">
        <v>36</v>
      </c>
      <c r="E796" s="10" t="s">
        <v>284</v>
      </c>
      <c r="F796" s="11" t="n">
        <v>105</v>
      </c>
      <c r="G796" s="11" t="n">
        <v>6</v>
      </c>
      <c r="H796" s="26" t="n">
        <v>1299.4</v>
      </c>
      <c r="I796" s="26" t="n">
        <f aca="false">H796/G796</f>
        <v>216.566666666667</v>
      </c>
      <c r="J796" s="10" t="s">
        <v>189</v>
      </c>
      <c r="K796" s="10" t="s">
        <v>190</v>
      </c>
    </row>
    <row r="797" customFormat="false" ht="18.75" hidden="false" customHeight="true" outlineLevel="0" collapsed="false">
      <c r="A797" s="15" t="s">
        <v>1527</v>
      </c>
      <c r="B797" s="15" t="s">
        <v>1016</v>
      </c>
      <c r="C797" s="15" t="s">
        <v>155</v>
      </c>
      <c r="D797" s="15" t="s">
        <v>34</v>
      </c>
      <c r="E797" s="15" t="s">
        <v>284</v>
      </c>
      <c r="F797" s="16" t="n">
        <v>93</v>
      </c>
      <c r="G797" s="16" t="n">
        <v>6</v>
      </c>
      <c r="H797" s="29" t="n">
        <v>1294.01</v>
      </c>
      <c r="I797" s="29" t="n">
        <f aca="false">H797/G797</f>
        <v>215.668333333333</v>
      </c>
      <c r="J797" s="15" t="s">
        <v>189</v>
      </c>
      <c r="K797" s="15" t="s">
        <v>190</v>
      </c>
    </row>
    <row r="798" customFormat="false" ht="18.75" hidden="false" customHeight="true" outlineLevel="0" collapsed="false">
      <c r="A798" s="10" t="s">
        <v>1528</v>
      </c>
      <c r="B798" s="10" t="s">
        <v>1529</v>
      </c>
      <c r="C798" s="10" t="s">
        <v>160</v>
      </c>
      <c r="D798" s="10" t="s">
        <v>36</v>
      </c>
      <c r="E798" s="10" t="s">
        <v>384</v>
      </c>
      <c r="F798" s="11" t="n">
        <v>184</v>
      </c>
      <c r="G798" s="11" t="n">
        <v>5</v>
      </c>
      <c r="H798" s="26" t="n">
        <v>1293.22</v>
      </c>
      <c r="I798" s="26" t="n">
        <f aca="false">H798/G798</f>
        <v>258.644</v>
      </c>
      <c r="J798" s="10" t="s">
        <v>268</v>
      </c>
      <c r="K798" s="10" t="s">
        <v>269</v>
      </c>
    </row>
    <row r="799" customFormat="false" ht="18.75" hidden="false" customHeight="true" outlineLevel="0" collapsed="false">
      <c r="A799" s="15" t="s">
        <v>1530</v>
      </c>
      <c r="B799" s="15" t="s">
        <v>1531</v>
      </c>
      <c r="C799" s="15" t="s">
        <v>181</v>
      </c>
      <c r="D799" s="15" t="s">
        <v>36</v>
      </c>
      <c r="E799" s="15" t="s">
        <v>284</v>
      </c>
      <c r="F799" s="16" t="n">
        <v>64</v>
      </c>
      <c r="G799" s="16" t="n">
        <v>4</v>
      </c>
      <c r="H799" s="29" t="n">
        <v>1283.75</v>
      </c>
      <c r="I799" s="29" t="n">
        <f aca="false">H799/G799</f>
        <v>320.9375</v>
      </c>
      <c r="J799" s="15" t="s">
        <v>253</v>
      </c>
      <c r="K799" s="15" t="s">
        <v>254</v>
      </c>
    </row>
    <row r="800" customFormat="false" ht="18.75" hidden="false" customHeight="true" outlineLevel="0" collapsed="false">
      <c r="A800" s="10" t="s">
        <v>1532</v>
      </c>
      <c r="B800" s="10" t="s">
        <v>424</v>
      </c>
      <c r="C800" s="10" t="s">
        <v>226</v>
      </c>
      <c r="D800" s="10" t="s">
        <v>36</v>
      </c>
      <c r="E800" s="10" t="s">
        <v>284</v>
      </c>
      <c r="F800" s="11" t="n">
        <v>91</v>
      </c>
      <c r="G800" s="11" t="n">
        <v>4</v>
      </c>
      <c r="H800" s="26" t="n">
        <v>1281.95</v>
      </c>
      <c r="I800" s="26" t="n">
        <f aca="false">H800/G800</f>
        <v>320.4875</v>
      </c>
      <c r="J800" s="10" t="s">
        <v>253</v>
      </c>
      <c r="K800" s="10" t="s">
        <v>254</v>
      </c>
    </row>
    <row r="801" customFormat="false" ht="18.75" hidden="false" customHeight="true" outlineLevel="0" collapsed="false">
      <c r="A801" s="15" t="s">
        <v>1533</v>
      </c>
      <c r="B801" s="15" t="s">
        <v>1534</v>
      </c>
      <c r="C801" s="15" t="s">
        <v>160</v>
      </c>
      <c r="D801" s="15" t="s">
        <v>36</v>
      </c>
      <c r="E801" s="15" t="s">
        <v>284</v>
      </c>
      <c r="F801" s="16" t="n">
        <v>189</v>
      </c>
      <c r="G801" s="16" t="n">
        <v>2</v>
      </c>
      <c r="H801" s="29" t="n">
        <v>1277.3</v>
      </c>
      <c r="I801" s="29" t="n">
        <f aca="false">H801/G801</f>
        <v>638.65</v>
      </c>
      <c r="J801" s="15" t="s">
        <v>253</v>
      </c>
      <c r="K801" s="15" t="s">
        <v>254</v>
      </c>
    </row>
    <row r="802" customFormat="false" ht="18.75" hidden="false" customHeight="true" outlineLevel="0" collapsed="false">
      <c r="A802" s="10" t="s">
        <v>1535</v>
      </c>
      <c r="B802" s="10" t="s">
        <v>1138</v>
      </c>
      <c r="C802" s="10" t="s">
        <v>181</v>
      </c>
      <c r="D802" s="10" t="s">
        <v>36</v>
      </c>
      <c r="E802" s="10" t="s">
        <v>284</v>
      </c>
      <c r="F802" s="11" t="n">
        <v>5</v>
      </c>
      <c r="G802" s="11" t="n">
        <v>5</v>
      </c>
      <c r="H802" s="26" t="n">
        <v>1273.3</v>
      </c>
      <c r="I802" s="26" t="n">
        <f aca="false">H802/G802</f>
        <v>254.66</v>
      </c>
      <c r="J802" s="10" t="s">
        <v>268</v>
      </c>
      <c r="K802" s="10" t="s">
        <v>269</v>
      </c>
    </row>
    <row r="803" customFormat="false" ht="18.75" hidden="false" customHeight="true" outlineLevel="0" collapsed="false">
      <c r="A803" s="15" t="s">
        <v>1536</v>
      </c>
      <c r="B803" s="15" t="s">
        <v>1069</v>
      </c>
      <c r="C803" s="15" t="s">
        <v>149</v>
      </c>
      <c r="D803" s="15" t="s">
        <v>35</v>
      </c>
      <c r="E803" s="15" t="s">
        <v>284</v>
      </c>
      <c r="F803" s="16" t="n">
        <v>144</v>
      </c>
      <c r="G803" s="16" t="n">
        <v>4</v>
      </c>
      <c r="H803" s="29" t="n">
        <v>1269.1</v>
      </c>
      <c r="I803" s="29" t="n">
        <f aca="false">H803/G803</f>
        <v>317.275</v>
      </c>
      <c r="J803" s="15" t="s">
        <v>253</v>
      </c>
      <c r="K803" s="15" t="s">
        <v>254</v>
      </c>
    </row>
    <row r="804" customFormat="false" ht="18.75" hidden="false" customHeight="true" outlineLevel="0" collapsed="false">
      <c r="A804" s="10" t="s">
        <v>1537</v>
      </c>
      <c r="B804" s="10" t="s">
        <v>1538</v>
      </c>
      <c r="C804" s="10" t="s">
        <v>152</v>
      </c>
      <c r="D804" s="10" t="s">
        <v>35</v>
      </c>
      <c r="E804" s="10" t="s">
        <v>284</v>
      </c>
      <c r="F804" s="11" t="n">
        <v>161</v>
      </c>
      <c r="G804" s="11" t="n">
        <v>4</v>
      </c>
      <c r="H804" s="26" t="n">
        <v>1265.12</v>
      </c>
      <c r="I804" s="26" t="n">
        <f aca="false">H804/G804</f>
        <v>316.28</v>
      </c>
      <c r="J804" s="10" t="s">
        <v>253</v>
      </c>
      <c r="K804" s="10" t="s">
        <v>254</v>
      </c>
    </row>
    <row r="805" customFormat="false" ht="18.75" hidden="false" customHeight="true" outlineLevel="0" collapsed="false">
      <c r="A805" s="15" t="s">
        <v>1539</v>
      </c>
      <c r="B805" s="15" t="s">
        <v>565</v>
      </c>
      <c r="C805" s="15" t="s">
        <v>160</v>
      </c>
      <c r="D805" s="15" t="s">
        <v>36</v>
      </c>
      <c r="E805" s="15" t="s">
        <v>284</v>
      </c>
      <c r="F805" s="16" t="n">
        <v>50</v>
      </c>
      <c r="G805" s="16" t="n">
        <v>3</v>
      </c>
      <c r="H805" s="29" t="n">
        <v>1252.85</v>
      </c>
      <c r="I805" s="29" t="n">
        <f aca="false">H805/G805</f>
        <v>417.616666666667</v>
      </c>
      <c r="J805" s="15" t="s">
        <v>253</v>
      </c>
      <c r="K805" s="15" t="s">
        <v>254</v>
      </c>
    </row>
    <row r="806" customFormat="false" ht="18.75" hidden="false" customHeight="true" outlineLevel="0" collapsed="false">
      <c r="A806" s="10" t="s">
        <v>1540</v>
      </c>
      <c r="B806" s="10" t="s">
        <v>1541</v>
      </c>
      <c r="C806" s="10" t="s">
        <v>163</v>
      </c>
      <c r="D806" s="10" t="s">
        <v>36</v>
      </c>
      <c r="E806" s="10" t="s">
        <v>284</v>
      </c>
      <c r="F806" s="11" t="n">
        <v>19</v>
      </c>
      <c r="G806" s="11" t="n">
        <v>6</v>
      </c>
      <c r="H806" s="26" t="n">
        <v>1251.74</v>
      </c>
      <c r="I806" s="26" t="n">
        <f aca="false">H806/G806</f>
        <v>208.623333333333</v>
      </c>
      <c r="J806" s="10" t="s">
        <v>268</v>
      </c>
      <c r="K806" s="10" t="s">
        <v>269</v>
      </c>
    </row>
    <row r="807" customFormat="false" ht="18.75" hidden="false" customHeight="true" outlineLevel="0" collapsed="false">
      <c r="A807" s="15" t="s">
        <v>1542</v>
      </c>
      <c r="B807" s="15" t="s">
        <v>1543</v>
      </c>
      <c r="C807" s="15" t="s">
        <v>146</v>
      </c>
      <c r="D807" s="15" t="s">
        <v>34</v>
      </c>
      <c r="E807" s="15" t="s">
        <v>284</v>
      </c>
      <c r="F807" s="16" t="n">
        <v>75</v>
      </c>
      <c r="G807" s="16" t="n">
        <v>2</v>
      </c>
      <c r="H807" s="29" t="n">
        <v>1241.4</v>
      </c>
      <c r="I807" s="29" t="n">
        <f aca="false">H807/G807</f>
        <v>620.7</v>
      </c>
      <c r="J807" s="15" t="s">
        <v>253</v>
      </c>
      <c r="K807" s="15" t="s">
        <v>254</v>
      </c>
    </row>
    <row r="808" customFormat="false" ht="18.75" hidden="false" customHeight="true" outlineLevel="0" collapsed="false">
      <c r="A808" s="10" t="s">
        <v>1544</v>
      </c>
      <c r="B808" s="10" t="s">
        <v>1117</v>
      </c>
      <c r="C808" s="10" t="s">
        <v>146</v>
      </c>
      <c r="D808" s="10" t="s">
        <v>34</v>
      </c>
      <c r="E808" s="10" t="s">
        <v>284</v>
      </c>
      <c r="F808" s="11" t="n">
        <v>86</v>
      </c>
      <c r="G808" s="11" t="n">
        <v>2</v>
      </c>
      <c r="H808" s="26" t="n">
        <v>1240.88</v>
      </c>
      <c r="I808" s="26" t="n">
        <f aca="false">H808/G808</f>
        <v>620.44</v>
      </c>
      <c r="J808" s="10" t="s">
        <v>253</v>
      </c>
      <c r="K808" s="10" t="s">
        <v>254</v>
      </c>
    </row>
    <row r="809" customFormat="false" ht="18.75" hidden="false" customHeight="true" outlineLevel="0" collapsed="false">
      <c r="A809" s="15" t="s">
        <v>1545</v>
      </c>
      <c r="B809" s="15" t="s">
        <v>1366</v>
      </c>
      <c r="C809" s="15" t="s">
        <v>207</v>
      </c>
      <c r="D809" s="15" t="s">
        <v>35</v>
      </c>
      <c r="E809" s="15" t="s">
        <v>284</v>
      </c>
      <c r="F809" s="16" t="n">
        <v>195</v>
      </c>
      <c r="G809" s="16" t="n">
        <v>3</v>
      </c>
      <c r="H809" s="29" t="n">
        <v>1239.8</v>
      </c>
      <c r="I809" s="29" t="n">
        <f aca="false">H809/G809</f>
        <v>413.266666666667</v>
      </c>
      <c r="J809" s="15" t="s">
        <v>253</v>
      </c>
      <c r="K809" s="15" t="s">
        <v>254</v>
      </c>
    </row>
    <row r="810" customFormat="false" ht="18.75" hidden="false" customHeight="true" outlineLevel="0" collapsed="false">
      <c r="A810" s="10" t="s">
        <v>1546</v>
      </c>
      <c r="B810" s="10" t="s">
        <v>406</v>
      </c>
      <c r="C810" s="10" t="s">
        <v>163</v>
      </c>
      <c r="D810" s="10" t="s">
        <v>36</v>
      </c>
      <c r="E810" s="10" t="s">
        <v>384</v>
      </c>
      <c r="F810" s="11" t="n">
        <v>1</v>
      </c>
      <c r="G810" s="11" t="n">
        <v>2</v>
      </c>
      <c r="H810" s="26" t="n">
        <v>1227.75</v>
      </c>
      <c r="I810" s="26" t="n">
        <f aca="false">H810/G810</f>
        <v>613.875</v>
      </c>
      <c r="J810" s="10" t="s">
        <v>280</v>
      </c>
      <c r="K810" s="10" t="s">
        <v>281</v>
      </c>
    </row>
    <row r="811" customFormat="false" ht="18.75" hidden="false" customHeight="true" outlineLevel="0" collapsed="false">
      <c r="A811" s="15" t="s">
        <v>1547</v>
      </c>
      <c r="B811" s="15" t="s">
        <v>974</v>
      </c>
      <c r="C811" s="15" t="s">
        <v>152</v>
      </c>
      <c r="D811" s="15" t="s">
        <v>35</v>
      </c>
      <c r="E811" s="15" t="s">
        <v>284</v>
      </c>
      <c r="F811" s="16" t="n">
        <v>270</v>
      </c>
      <c r="G811" s="16" t="n">
        <v>1</v>
      </c>
      <c r="H811" s="29" t="n">
        <v>1225.3</v>
      </c>
      <c r="I811" s="29" t="n">
        <f aca="false">H811/G811</f>
        <v>1225.3</v>
      </c>
      <c r="J811" s="15" t="s">
        <v>253</v>
      </c>
      <c r="K811" s="15" t="s">
        <v>254</v>
      </c>
    </row>
    <row r="812" customFormat="false" ht="18.75" hidden="false" customHeight="true" outlineLevel="0" collapsed="false">
      <c r="A812" s="10" t="s">
        <v>1548</v>
      </c>
      <c r="B812" s="10" t="s">
        <v>1124</v>
      </c>
      <c r="C812" s="10" t="s">
        <v>199</v>
      </c>
      <c r="D812" s="10" t="s">
        <v>36</v>
      </c>
      <c r="E812" s="10" t="s">
        <v>284</v>
      </c>
      <c r="F812" s="11" t="n">
        <v>10</v>
      </c>
      <c r="G812" s="11" t="n">
        <v>1</v>
      </c>
      <c r="H812" s="26" t="n">
        <v>1211.99</v>
      </c>
      <c r="I812" s="26" t="n">
        <f aca="false">H812/G812</f>
        <v>1211.99</v>
      </c>
      <c r="J812" s="10" t="s">
        <v>280</v>
      </c>
      <c r="K812" s="10" t="s">
        <v>281</v>
      </c>
    </row>
    <row r="813" customFormat="false" ht="18.75" hidden="false" customHeight="true" outlineLevel="0" collapsed="false">
      <c r="A813" s="15" t="s">
        <v>1549</v>
      </c>
      <c r="B813" s="15" t="s">
        <v>1550</v>
      </c>
      <c r="C813" s="15" t="s">
        <v>199</v>
      </c>
      <c r="D813" s="15" t="s">
        <v>36</v>
      </c>
      <c r="E813" s="15" t="s">
        <v>284</v>
      </c>
      <c r="F813" s="16" t="n">
        <v>164</v>
      </c>
      <c r="G813" s="16" t="n">
        <v>2</v>
      </c>
      <c r="H813" s="29" t="n">
        <v>1201.78</v>
      </c>
      <c r="I813" s="29" t="n">
        <f aca="false">H813/G813</f>
        <v>600.89</v>
      </c>
      <c r="J813" s="15" t="s">
        <v>253</v>
      </c>
      <c r="K813" s="15" t="s">
        <v>254</v>
      </c>
    </row>
    <row r="814" customFormat="false" ht="18.75" hidden="false" customHeight="true" outlineLevel="0" collapsed="false">
      <c r="A814" s="10" t="s">
        <v>1551</v>
      </c>
      <c r="B814" s="10" t="s">
        <v>1552</v>
      </c>
      <c r="C814" s="10" t="s">
        <v>163</v>
      </c>
      <c r="D814" s="10" t="s">
        <v>36</v>
      </c>
      <c r="E814" s="10" t="s">
        <v>284</v>
      </c>
      <c r="F814" s="11" t="n">
        <v>198</v>
      </c>
      <c r="G814" s="11" t="n">
        <v>1</v>
      </c>
      <c r="H814" s="26" t="n">
        <v>1185.6</v>
      </c>
      <c r="I814" s="26" t="n">
        <f aca="false">H814/G814</f>
        <v>1185.6</v>
      </c>
      <c r="J814" s="10" t="s">
        <v>253</v>
      </c>
      <c r="K814" s="10" t="s">
        <v>254</v>
      </c>
    </row>
    <row r="815" customFormat="false" ht="18.75" hidden="false" customHeight="true" outlineLevel="0" collapsed="false">
      <c r="A815" s="15" t="s">
        <v>1553</v>
      </c>
      <c r="B815" s="15" t="s">
        <v>482</v>
      </c>
      <c r="C815" s="15" t="s">
        <v>140</v>
      </c>
      <c r="D815" s="15" t="s">
        <v>35</v>
      </c>
      <c r="E815" s="15" t="s">
        <v>284</v>
      </c>
      <c r="F815" s="16" t="n">
        <v>47</v>
      </c>
      <c r="G815" s="16" t="n">
        <v>1</v>
      </c>
      <c r="H815" s="29" t="n">
        <v>1180.83</v>
      </c>
      <c r="I815" s="29" t="n">
        <f aca="false">H815/G815</f>
        <v>1180.83</v>
      </c>
      <c r="J815" s="15" t="s">
        <v>280</v>
      </c>
      <c r="K815" s="15" t="s">
        <v>281</v>
      </c>
    </row>
    <row r="816" customFormat="false" ht="18.75" hidden="false" customHeight="true" outlineLevel="0" collapsed="false">
      <c r="A816" s="10" t="s">
        <v>1554</v>
      </c>
      <c r="B816" s="10" t="s">
        <v>1555</v>
      </c>
      <c r="C816" s="10" t="s">
        <v>160</v>
      </c>
      <c r="D816" s="10" t="s">
        <v>36</v>
      </c>
      <c r="E816" s="10" t="s">
        <v>284</v>
      </c>
      <c r="F816" s="11" t="n">
        <v>151</v>
      </c>
      <c r="G816" s="11" t="n">
        <v>3</v>
      </c>
      <c r="H816" s="26" t="n">
        <v>1179.56</v>
      </c>
      <c r="I816" s="26" t="n">
        <f aca="false">H816/G816</f>
        <v>393.186666666667</v>
      </c>
      <c r="J816" s="10" t="s">
        <v>253</v>
      </c>
      <c r="K816" s="10" t="s">
        <v>254</v>
      </c>
    </row>
    <row r="817" customFormat="false" ht="18.75" hidden="false" customHeight="true" outlineLevel="0" collapsed="false">
      <c r="A817" s="15" t="s">
        <v>1556</v>
      </c>
      <c r="B817" s="15" t="s">
        <v>1348</v>
      </c>
      <c r="C817" s="15" t="s">
        <v>152</v>
      </c>
      <c r="D817" s="15" t="s">
        <v>35</v>
      </c>
      <c r="E817" s="15" t="s">
        <v>284</v>
      </c>
      <c r="F817" s="16" t="n">
        <v>169</v>
      </c>
      <c r="G817" s="16" t="n">
        <v>2</v>
      </c>
      <c r="H817" s="29" t="n">
        <v>1174.07</v>
      </c>
      <c r="I817" s="29" t="n">
        <f aca="false">H817/G817</f>
        <v>587.035</v>
      </c>
      <c r="J817" s="15" t="s">
        <v>253</v>
      </c>
      <c r="K817" s="15" t="s">
        <v>254</v>
      </c>
    </row>
    <row r="818" customFormat="false" ht="18.75" hidden="false" customHeight="true" outlineLevel="0" collapsed="false">
      <c r="A818" s="10" t="s">
        <v>1557</v>
      </c>
      <c r="B818" s="10" t="s">
        <v>221</v>
      </c>
      <c r="C818" s="10" t="s">
        <v>181</v>
      </c>
      <c r="D818" s="10" t="s">
        <v>36</v>
      </c>
      <c r="E818" s="10" t="s">
        <v>284</v>
      </c>
      <c r="F818" s="11" t="n">
        <v>35</v>
      </c>
      <c r="G818" s="11" t="n">
        <v>4</v>
      </c>
      <c r="H818" s="26" t="n">
        <v>1164.46</v>
      </c>
      <c r="I818" s="26" t="n">
        <f aca="false">H818/G818</f>
        <v>291.115</v>
      </c>
      <c r="J818" s="10" t="s">
        <v>280</v>
      </c>
      <c r="K818" s="10" t="s">
        <v>281</v>
      </c>
    </row>
    <row r="819" customFormat="false" ht="18.75" hidden="false" customHeight="true" outlineLevel="0" collapsed="false">
      <c r="A819" s="15" t="s">
        <v>1558</v>
      </c>
      <c r="B819" s="15" t="s">
        <v>614</v>
      </c>
      <c r="C819" s="15" t="s">
        <v>207</v>
      </c>
      <c r="D819" s="15" t="s">
        <v>35</v>
      </c>
      <c r="E819" s="15" t="s">
        <v>384</v>
      </c>
      <c r="F819" s="16" t="n">
        <v>173</v>
      </c>
      <c r="G819" s="16" t="n">
        <v>2</v>
      </c>
      <c r="H819" s="29" t="n">
        <v>1162.7</v>
      </c>
      <c r="I819" s="29" t="n">
        <f aca="false">H819/G819</f>
        <v>581.35</v>
      </c>
      <c r="J819" s="15" t="s">
        <v>253</v>
      </c>
      <c r="K819" s="15" t="s">
        <v>254</v>
      </c>
    </row>
    <row r="820" customFormat="false" ht="18.75" hidden="false" customHeight="true" outlineLevel="0" collapsed="false">
      <c r="A820" s="10" t="s">
        <v>1559</v>
      </c>
      <c r="B820" s="10" t="s">
        <v>1560</v>
      </c>
      <c r="C820" s="10" t="s">
        <v>160</v>
      </c>
      <c r="D820" s="10" t="s">
        <v>36</v>
      </c>
      <c r="E820" s="10" t="s">
        <v>284</v>
      </c>
      <c r="F820" s="11" t="n">
        <v>122</v>
      </c>
      <c r="G820" s="11" t="n">
        <v>4</v>
      </c>
      <c r="H820" s="26" t="n">
        <v>1157.8</v>
      </c>
      <c r="I820" s="26" t="n">
        <f aca="false">H820/G820</f>
        <v>289.45</v>
      </c>
      <c r="J820" s="10" t="s">
        <v>253</v>
      </c>
      <c r="K820" s="10" t="s">
        <v>254</v>
      </c>
    </row>
    <row r="821" customFormat="false" ht="18.75" hidden="false" customHeight="true" outlineLevel="0" collapsed="false">
      <c r="A821" s="15" t="s">
        <v>1561</v>
      </c>
      <c r="B821" s="15" t="s">
        <v>360</v>
      </c>
      <c r="C821" s="15" t="s">
        <v>160</v>
      </c>
      <c r="D821" s="15" t="s">
        <v>36</v>
      </c>
      <c r="E821" s="15" t="s">
        <v>384</v>
      </c>
      <c r="F821" s="16" t="n">
        <v>89</v>
      </c>
      <c r="G821" s="16" t="n">
        <v>5</v>
      </c>
      <c r="H821" s="29" t="n">
        <v>1157.07</v>
      </c>
      <c r="I821" s="29" t="n">
        <f aca="false">H821/G821</f>
        <v>231.414</v>
      </c>
      <c r="J821" s="15" t="s">
        <v>189</v>
      </c>
      <c r="K821" s="15" t="s">
        <v>190</v>
      </c>
    </row>
    <row r="822" customFormat="false" ht="18.75" hidden="false" customHeight="true" outlineLevel="0" collapsed="false">
      <c r="A822" s="10" t="s">
        <v>1562</v>
      </c>
      <c r="B822" s="10" t="s">
        <v>1563</v>
      </c>
      <c r="C822" s="10" t="s">
        <v>181</v>
      </c>
      <c r="D822" s="10" t="s">
        <v>36</v>
      </c>
      <c r="E822" s="10" t="s">
        <v>284</v>
      </c>
      <c r="F822" s="11" t="n">
        <v>78</v>
      </c>
      <c r="G822" s="11" t="n">
        <v>2</v>
      </c>
      <c r="H822" s="26" t="n">
        <v>1156.45</v>
      </c>
      <c r="I822" s="26" t="n">
        <f aca="false">H822/G822</f>
        <v>578.225</v>
      </c>
      <c r="J822" s="10" t="s">
        <v>253</v>
      </c>
      <c r="K822" s="10" t="s">
        <v>254</v>
      </c>
    </row>
    <row r="823" customFormat="false" ht="18.75" hidden="false" customHeight="true" outlineLevel="0" collapsed="false">
      <c r="A823" s="15" t="s">
        <v>1564</v>
      </c>
      <c r="B823" s="15" t="s">
        <v>1565</v>
      </c>
      <c r="C823" s="15" t="s">
        <v>199</v>
      </c>
      <c r="D823" s="15" t="s">
        <v>36</v>
      </c>
      <c r="E823" s="15" t="s">
        <v>284</v>
      </c>
      <c r="F823" s="16" t="n">
        <v>48</v>
      </c>
      <c r="G823" s="16" t="n">
        <v>2</v>
      </c>
      <c r="H823" s="29" t="n">
        <v>1154.47</v>
      </c>
      <c r="I823" s="29" t="n">
        <f aca="false">H823/G823</f>
        <v>577.235</v>
      </c>
      <c r="J823" s="15" t="s">
        <v>280</v>
      </c>
      <c r="K823" s="15" t="s">
        <v>281</v>
      </c>
    </row>
    <row r="824" customFormat="false" ht="18.75" hidden="false" customHeight="true" outlineLevel="0" collapsed="false">
      <c r="A824" s="10" t="s">
        <v>1566</v>
      </c>
      <c r="B824" s="10" t="s">
        <v>1567</v>
      </c>
      <c r="C824" s="10" t="s">
        <v>163</v>
      </c>
      <c r="D824" s="10" t="s">
        <v>36</v>
      </c>
      <c r="E824" s="10" t="s">
        <v>284</v>
      </c>
      <c r="F824" s="11" t="n">
        <v>9</v>
      </c>
      <c r="G824" s="11" t="n">
        <v>5</v>
      </c>
      <c r="H824" s="26" t="n">
        <v>1152.72</v>
      </c>
      <c r="I824" s="26" t="n">
        <f aca="false">H824/G824</f>
        <v>230.544</v>
      </c>
      <c r="J824" s="10" t="s">
        <v>268</v>
      </c>
      <c r="K824" s="10" t="s">
        <v>269</v>
      </c>
    </row>
    <row r="825" customFormat="false" ht="18.75" hidden="false" customHeight="true" outlineLevel="0" collapsed="false">
      <c r="A825" s="15" t="s">
        <v>1568</v>
      </c>
      <c r="B825" s="15" t="s">
        <v>1353</v>
      </c>
      <c r="C825" s="15" t="s">
        <v>152</v>
      </c>
      <c r="D825" s="15" t="s">
        <v>35</v>
      </c>
      <c r="E825" s="15" t="s">
        <v>284</v>
      </c>
      <c r="F825" s="16" t="n">
        <v>121</v>
      </c>
      <c r="G825" s="16" t="n">
        <v>3</v>
      </c>
      <c r="H825" s="29" t="n">
        <v>1149.15</v>
      </c>
      <c r="I825" s="29" t="n">
        <f aca="false">H825/G825</f>
        <v>383.05</v>
      </c>
      <c r="J825" s="15" t="s">
        <v>253</v>
      </c>
      <c r="K825" s="15" t="s">
        <v>254</v>
      </c>
    </row>
    <row r="826" customFormat="false" ht="18.75" hidden="false" customHeight="true" outlineLevel="0" collapsed="false">
      <c r="A826" s="10" t="s">
        <v>1569</v>
      </c>
      <c r="B826" s="10" t="s">
        <v>330</v>
      </c>
      <c r="C826" s="10" t="s">
        <v>207</v>
      </c>
      <c r="D826" s="10" t="s">
        <v>35</v>
      </c>
      <c r="E826" s="10" t="s">
        <v>284</v>
      </c>
      <c r="F826" s="11" t="n">
        <v>155</v>
      </c>
      <c r="G826" s="11" t="n">
        <v>2</v>
      </c>
      <c r="H826" s="26" t="n">
        <v>1149.04</v>
      </c>
      <c r="I826" s="26" t="n">
        <f aca="false">H826/G826</f>
        <v>574.52</v>
      </c>
      <c r="J826" s="10" t="s">
        <v>253</v>
      </c>
      <c r="K826" s="10" t="s">
        <v>254</v>
      </c>
    </row>
    <row r="827" customFormat="false" ht="18.75" hidden="false" customHeight="true" outlineLevel="0" collapsed="false">
      <c r="A827" s="15" t="s">
        <v>1570</v>
      </c>
      <c r="B827" s="15" t="s">
        <v>1534</v>
      </c>
      <c r="C827" s="15" t="s">
        <v>226</v>
      </c>
      <c r="D827" s="15" t="s">
        <v>36</v>
      </c>
      <c r="E827" s="15" t="s">
        <v>284</v>
      </c>
      <c r="F827" s="16" t="n">
        <v>78</v>
      </c>
      <c r="G827" s="16" t="n">
        <v>3</v>
      </c>
      <c r="H827" s="29" t="n">
        <v>1133</v>
      </c>
      <c r="I827" s="29" t="n">
        <f aca="false">H827/G827</f>
        <v>377.666666666667</v>
      </c>
      <c r="J827" s="15" t="s">
        <v>253</v>
      </c>
      <c r="K827" s="15" t="s">
        <v>254</v>
      </c>
    </row>
    <row r="828" customFormat="false" ht="18.75" hidden="false" customHeight="true" outlineLevel="0" collapsed="false">
      <c r="A828" s="10" t="s">
        <v>1571</v>
      </c>
      <c r="B828" s="10" t="s">
        <v>1572</v>
      </c>
      <c r="C828" s="10" t="s">
        <v>216</v>
      </c>
      <c r="D828" s="10" t="s">
        <v>34</v>
      </c>
      <c r="E828" s="10" t="s">
        <v>284</v>
      </c>
      <c r="F828" s="11" t="n">
        <v>63</v>
      </c>
      <c r="G828" s="11" t="n">
        <v>2</v>
      </c>
      <c r="H828" s="26" t="n">
        <v>1122.75</v>
      </c>
      <c r="I828" s="26" t="n">
        <f aca="false">H828/G828</f>
        <v>561.375</v>
      </c>
      <c r="J828" s="10" t="s">
        <v>253</v>
      </c>
      <c r="K828" s="10" t="s">
        <v>254</v>
      </c>
    </row>
    <row r="829" customFormat="false" ht="18.75" hidden="false" customHeight="true" outlineLevel="0" collapsed="false">
      <c r="A829" s="15" t="s">
        <v>1573</v>
      </c>
      <c r="B829" s="15" t="s">
        <v>1574</v>
      </c>
      <c r="C829" s="15" t="s">
        <v>226</v>
      </c>
      <c r="D829" s="15" t="s">
        <v>36</v>
      </c>
      <c r="E829" s="15" t="s">
        <v>284</v>
      </c>
      <c r="F829" s="16" t="n">
        <v>43</v>
      </c>
      <c r="G829" s="16" t="n">
        <v>6</v>
      </c>
      <c r="H829" s="29" t="n">
        <v>1121.65</v>
      </c>
      <c r="I829" s="29" t="n">
        <f aca="false">H829/G829</f>
        <v>186.941666666667</v>
      </c>
      <c r="J829" s="15" t="s">
        <v>268</v>
      </c>
      <c r="K829" s="15" t="s">
        <v>269</v>
      </c>
    </row>
    <row r="830" customFormat="false" ht="18.75" hidden="false" customHeight="true" outlineLevel="0" collapsed="false">
      <c r="A830" s="10" t="s">
        <v>1575</v>
      </c>
      <c r="B830" s="10" t="s">
        <v>1375</v>
      </c>
      <c r="C830" s="10" t="s">
        <v>140</v>
      </c>
      <c r="D830" s="10" t="s">
        <v>35</v>
      </c>
      <c r="E830" s="10" t="s">
        <v>284</v>
      </c>
      <c r="F830" s="11" t="n">
        <v>113</v>
      </c>
      <c r="G830" s="11" t="n">
        <v>3</v>
      </c>
      <c r="H830" s="26" t="n">
        <v>1116.53</v>
      </c>
      <c r="I830" s="26" t="n">
        <f aca="false">H830/G830</f>
        <v>372.176666666667</v>
      </c>
      <c r="J830" s="10" t="s">
        <v>253</v>
      </c>
      <c r="K830" s="10" t="s">
        <v>254</v>
      </c>
    </row>
    <row r="831" customFormat="false" ht="18.75" hidden="false" customHeight="true" outlineLevel="0" collapsed="false">
      <c r="A831" s="15" t="s">
        <v>1576</v>
      </c>
      <c r="B831" s="15" t="s">
        <v>411</v>
      </c>
      <c r="C831" s="15" t="s">
        <v>152</v>
      </c>
      <c r="D831" s="15" t="s">
        <v>35</v>
      </c>
      <c r="E831" s="15" t="s">
        <v>384</v>
      </c>
      <c r="F831" s="16" t="n">
        <v>9</v>
      </c>
      <c r="G831" s="16" t="n">
        <v>2</v>
      </c>
      <c r="H831" s="29" t="n">
        <v>1114.18</v>
      </c>
      <c r="I831" s="29" t="n">
        <f aca="false">H831/G831</f>
        <v>557.09</v>
      </c>
      <c r="J831" s="15" t="s">
        <v>280</v>
      </c>
      <c r="K831" s="15" t="s">
        <v>281</v>
      </c>
    </row>
    <row r="832" customFormat="false" ht="18.75" hidden="false" customHeight="true" outlineLevel="0" collapsed="false">
      <c r="A832" s="10" t="s">
        <v>1577</v>
      </c>
      <c r="B832" s="10" t="s">
        <v>1578</v>
      </c>
      <c r="C832" s="10" t="s">
        <v>160</v>
      </c>
      <c r="D832" s="10" t="s">
        <v>36</v>
      </c>
      <c r="E832" s="10" t="s">
        <v>284</v>
      </c>
      <c r="F832" s="11" t="n">
        <v>135</v>
      </c>
      <c r="G832" s="11" t="n">
        <v>2</v>
      </c>
      <c r="H832" s="26" t="n">
        <v>1113.2</v>
      </c>
      <c r="I832" s="26" t="n">
        <f aca="false">H832/G832</f>
        <v>556.6</v>
      </c>
      <c r="J832" s="10" t="s">
        <v>253</v>
      </c>
      <c r="K832" s="10" t="s">
        <v>254</v>
      </c>
    </row>
    <row r="833" customFormat="false" ht="18.75" hidden="false" customHeight="true" outlineLevel="0" collapsed="false">
      <c r="A833" s="15" t="s">
        <v>1579</v>
      </c>
      <c r="B833" s="15" t="s">
        <v>654</v>
      </c>
      <c r="C833" s="15" t="s">
        <v>226</v>
      </c>
      <c r="D833" s="15" t="s">
        <v>36</v>
      </c>
      <c r="E833" s="15" t="s">
        <v>284</v>
      </c>
      <c r="F833" s="16" t="n">
        <v>82</v>
      </c>
      <c r="G833" s="16" t="n">
        <v>2</v>
      </c>
      <c r="H833" s="29" t="n">
        <v>1094.8</v>
      </c>
      <c r="I833" s="29" t="n">
        <f aca="false">H833/G833</f>
        <v>547.4</v>
      </c>
      <c r="J833" s="15" t="s">
        <v>253</v>
      </c>
      <c r="K833" s="15" t="s">
        <v>254</v>
      </c>
    </row>
    <row r="834" customFormat="false" ht="18.75" hidden="false" customHeight="true" outlineLevel="0" collapsed="false">
      <c r="A834" s="10" t="s">
        <v>1580</v>
      </c>
      <c r="B834" s="10" t="s">
        <v>1190</v>
      </c>
      <c r="C834" s="10" t="s">
        <v>184</v>
      </c>
      <c r="D834" s="10" t="s">
        <v>34</v>
      </c>
      <c r="E834" s="10" t="s">
        <v>284</v>
      </c>
      <c r="F834" s="11" t="n">
        <v>5</v>
      </c>
      <c r="G834" s="11" t="n">
        <v>2</v>
      </c>
      <c r="H834" s="26" t="n">
        <v>1093</v>
      </c>
      <c r="I834" s="26" t="n">
        <f aca="false">H834/G834</f>
        <v>546.5</v>
      </c>
      <c r="J834" s="10" t="s">
        <v>280</v>
      </c>
      <c r="K834" s="10" t="s">
        <v>281</v>
      </c>
    </row>
    <row r="835" customFormat="false" ht="18.75" hidden="false" customHeight="true" outlineLevel="0" collapsed="false">
      <c r="A835" s="15" t="s">
        <v>1581</v>
      </c>
      <c r="B835" s="15" t="s">
        <v>398</v>
      </c>
      <c r="C835" s="15" t="s">
        <v>207</v>
      </c>
      <c r="D835" s="15" t="s">
        <v>35</v>
      </c>
      <c r="E835" s="15" t="s">
        <v>284</v>
      </c>
      <c r="F835" s="16" t="n">
        <v>354</v>
      </c>
      <c r="G835" s="16" t="n">
        <v>1</v>
      </c>
      <c r="H835" s="29" t="n">
        <v>1085.1</v>
      </c>
      <c r="I835" s="29" t="n">
        <f aca="false">H835/G835</f>
        <v>1085.1</v>
      </c>
      <c r="J835" s="15" t="s">
        <v>253</v>
      </c>
      <c r="K835" s="15" t="s">
        <v>254</v>
      </c>
    </row>
    <row r="836" customFormat="false" ht="18.75" hidden="false" customHeight="true" outlineLevel="0" collapsed="false">
      <c r="A836" s="10" t="s">
        <v>1582</v>
      </c>
      <c r="B836" s="10" t="s">
        <v>1583</v>
      </c>
      <c r="C836" s="10" t="s">
        <v>146</v>
      </c>
      <c r="D836" s="10" t="s">
        <v>34</v>
      </c>
      <c r="E836" s="10" t="s">
        <v>384</v>
      </c>
      <c r="F836" s="11" t="n">
        <v>45</v>
      </c>
      <c r="G836" s="11" t="n">
        <v>3</v>
      </c>
      <c r="H836" s="26" t="n">
        <v>1083.95</v>
      </c>
      <c r="I836" s="26" t="n">
        <f aca="false">H836/G836</f>
        <v>361.316666666667</v>
      </c>
      <c r="J836" s="10" t="s">
        <v>280</v>
      </c>
      <c r="K836" s="10" t="s">
        <v>281</v>
      </c>
    </row>
    <row r="837" customFormat="false" ht="18.75" hidden="false" customHeight="true" outlineLevel="0" collapsed="false">
      <c r="A837" s="15" t="s">
        <v>1584</v>
      </c>
      <c r="B837" s="15" t="s">
        <v>457</v>
      </c>
      <c r="C837" s="15" t="s">
        <v>207</v>
      </c>
      <c r="D837" s="15" t="s">
        <v>35</v>
      </c>
      <c r="E837" s="15" t="s">
        <v>284</v>
      </c>
      <c r="F837" s="16" t="n">
        <v>34</v>
      </c>
      <c r="G837" s="16" t="n">
        <v>2</v>
      </c>
      <c r="H837" s="29" t="n">
        <v>1071</v>
      </c>
      <c r="I837" s="29" t="n">
        <f aca="false">H837/G837</f>
        <v>535.5</v>
      </c>
      <c r="J837" s="15" t="s">
        <v>280</v>
      </c>
      <c r="K837" s="15" t="s">
        <v>281</v>
      </c>
    </row>
    <row r="838" customFormat="false" ht="18.75" hidden="false" customHeight="true" outlineLevel="0" collapsed="false">
      <c r="A838" s="10" t="s">
        <v>1585</v>
      </c>
      <c r="B838" s="10" t="s">
        <v>379</v>
      </c>
      <c r="C838" s="10" t="s">
        <v>207</v>
      </c>
      <c r="D838" s="10" t="s">
        <v>35</v>
      </c>
      <c r="E838" s="10" t="s">
        <v>284</v>
      </c>
      <c r="F838" s="11" t="n">
        <v>121</v>
      </c>
      <c r="G838" s="11" t="n">
        <v>2</v>
      </c>
      <c r="H838" s="26" t="n">
        <v>1064.18</v>
      </c>
      <c r="I838" s="26" t="n">
        <f aca="false">H838/G838</f>
        <v>532.09</v>
      </c>
      <c r="J838" s="10" t="s">
        <v>253</v>
      </c>
      <c r="K838" s="10" t="s">
        <v>254</v>
      </c>
    </row>
    <row r="839" customFormat="false" ht="18.75" hidden="false" customHeight="true" outlineLevel="0" collapsed="false">
      <c r="A839" s="15" t="s">
        <v>1586</v>
      </c>
      <c r="B839" s="15" t="s">
        <v>416</v>
      </c>
      <c r="C839" s="15" t="s">
        <v>140</v>
      </c>
      <c r="D839" s="15" t="s">
        <v>35</v>
      </c>
      <c r="E839" s="15" t="s">
        <v>284</v>
      </c>
      <c r="F839" s="16" t="n">
        <v>36</v>
      </c>
      <c r="G839" s="16" t="n">
        <v>3</v>
      </c>
      <c r="H839" s="29" t="n">
        <v>1061.4</v>
      </c>
      <c r="I839" s="29" t="n">
        <f aca="false">H839/G839</f>
        <v>353.8</v>
      </c>
      <c r="J839" s="15" t="s">
        <v>280</v>
      </c>
      <c r="K839" s="15" t="s">
        <v>281</v>
      </c>
    </row>
    <row r="840" customFormat="false" ht="18.75" hidden="false" customHeight="true" outlineLevel="0" collapsed="false">
      <c r="A840" s="10" t="s">
        <v>1587</v>
      </c>
      <c r="B840" s="10" t="s">
        <v>1588</v>
      </c>
      <c r="C840" s="10" t="s">
        <v>155</v>
      </c>
      <c r="D840" s="10" t="s">
        <v>34</v>
      </c>
      <c r="E840" s="10" t="s">
        <v>284</v>
      </c>
      <c r="F840" s="11" t="n">
        <v>9</v>
      </c>
      <c r="G840" s="11" t="n">
        <v>4</v>
      </c>
      <c r="H840" s="26" t="n">
        <v>1060.45</v>
      </c>
      <c r="I840" s="26" t="n">
        <f aca="false">H840/G840</f>
        <v>265.1125</v>
      </c>
      <c r="J840" s="10" t="s">
        <v>280</v>
      </c>
      <c r="K840" s="10" t="s">
        <v>281</v>
      </c>
    </row>
    <row r="841" customFormat="false" ht="18.75" hidden="false" customHeight="true" outlineLevel="0" collapsed="false">
      <c r="A841" s="15" t="s">
        <v>1589</v>
      </c>
      <c r="B841" s="15" t="s">
        <v>364</v>
      </c>
      <c r="C841" s="15" t="s">
        <v>199</v>
      </c>
      <c r="D841" s="15" t="s">
        <v>36</v>
      </c>
      <c r="E841" s="15" t="s">
        <v>284</v>
      </c>
      <c r="F841" s="16" t="n">
        <v>9</v>
      </c>
      <c r="G841" s="16" t="n">
        <v>4</v>
      </c>
      <c r="H841" s="29" t="n">
        <v>1056.15</v>
      </c>
      <c r="I841" s="29" t="n">
        <f aca="false">H841/G841</f>
        <v>264.0375</v>
      </c>
      <c r="J841" s="15" t="s">
        <v>280</v>
      </c>
      <c r="K841" s="15" t="s">
        <v>281</v>
      </c>
    </row>
    <row r="842" customFormat="false" ht="18.75" hidden="false" customHeight="true" outlineLevel="0" collapsed="false">
      <c r="A842" s="10" t="s">
        <v>1590</v>
      </c>
      <c r="B842" s="10" t="s">
        <v>1591</v>
      </c>
      <c r="C842" s="10" t="s">
        <v>207</v>
      </c>
      <c r="D842" s="10" t="s">
        <v>35</v>
      </c>
      <c r="E842" s="10" t="s">
        <v>284</v>
      </c>
      <c r="F842" s="11" t="n">
        <v>97</v>
      </c>
      <c r="G842" s="11" t="n">
        <v>1</v>
      </c>
      <c r="H842" s="26" t="n">
        <v>1050</v>
      </c>
      <c r="I842" s="26" t="n">
        <f aca="false">H842/G842</f>
        <v>1050</v>
      </c>
      <c r="J842" s="10" t="s">
        <v>253</v>
      </c>
      <c r="K842" s="10" t="s">
        <v>254</v>
      </c>
    </row>
    <row r="843" customFormat="false" ht="18.75" hidden="false" customHeight="true" outlineLevel="0" collapsed="false">
      <c r="A843" s="15" t="s">
        <v>1592</v>
      </c>
      <c r="B843" s="15" t="s">
        <v>1572</v>
      </c>
      <c r="C843" s="15" t="s">
        <v>160</v>
      </c>
      <c r="D843" s="15" t="s">
        <v>36</v>
      </c>
      <c r="E843" s="15" t="s">
        <v>284</v>
      </c>
      <c r="F843" s="16" t="n">
        <v>118</v>
      </c>
      <c r="G843" s="16" t="n">
        <v>3</v>
      </c>
      <c r="H843" s="29" t="n">
        <v>1048.99</v>
      </c>
      <c r="I843" s="29" t="n">
        <f aca="false">H843/G843</f>
        <v>349.663333333333</v>
      </c>
      <c r="J843" s="15" t="s">
        <v>253</v>
      </c>
      <c r="K843" s="15" t="s">
        <v>254</v>
      </c>
    </row>
    <row r="844" customFormat="false" ht="18.75" hidden="false" customHeight="true" outlineLevel="0" collapsed="false">
      <c r="A844" s="10" t="s">
        <v>1593</v>
      </c>
      <c r="B844" s="10" t="s">
        <v>1594</v>
      </c>
      <c r="C844" s="10" t="s">
        <v>219</v>
      </c>
      <c r="D844" s="10" t="s">
        <v>35</v>
      </c>
      <c r="E844" s="10" t="s">
        <v>284</v>
      </c>
      <c r="F844" s="11" t="n">
        <v>17</v>
      </c>
      <c r="G844" s="11" t="n">
        <v>1</v>
      </c>
      <c r="H844" s="26" t="n">
        <v>1048.45</v>
      </c>
      <c r="I844" s="26" t="n">
        <f aca="false">H844/G844</f>
        <v>1048.45</v>
      </c>
      <c r="J844" s="10" t="s">
        <v>280</v>
      </c>
      <c r="K844" s="10" t="s">
        <v>281</v>
      </c>
    </row>
    <row r="845" customFormat="false" ht="18.75" hidden="false" customHeight="true" outlineLevel="0" collapsed="false">
      <c r="A845" s="15" t="s">
        <v>1595</v>
      </c>
      <c r="B845" s="15" t="s">
        <v>1596</v>
      </c>
      <c r="C845" s="15" t="s">
        <v>140</v>
      </c>
      <c r="D845" s="15" t="s">
        <v>35</v>
      </c>
      <c r="E845" s="15" t="s">
        <v>284</v>
      </c>
      <c r="F845" s="16" t="n">
        <v>223</v>
      </c>
      <c r="G845" s="16" t="n">
        <v>2</v>
      </c>
      <c r="H845" s="29" t="n">
        <v>1045.43</v>
      </c>
      <c r="I845" s="29" t="n">
        <f aca="false">H845/G845</f>
        <v>522.715</v>
      </c>
      <c r="J845" s="15" t="s">
        <v>253</v>
      </c>
      <c r="K845" s="15" t="s">
        <v>254</v>
      </c>
    </row>
    <row r="846" customFormat="false" ht="18.75" hidden="false" customHeight="true" outlineLevel="0" collapsed="false">
      <c r="A846" s="10" t="s">
        <v>1597</v>
      </c>
      <c r="B846" s="10" t="s">
        <v>1598</v>
      </c>
      <c r="C846" s="10" t="s">
        <v>199</v>
      </c>
      <c r="D846" s="10" t="s">
        <v>36</v>
      </c>
      <c r="E846" s="10" t="s">
        <v>384</v>
      </c>
      <c r="F846" s="11" t="n">
        <v>28</v>
      </c>
      <c r="G846" s="11" t="n">
        <v>4</v>
      </c>
      <c r="H846" s="26" t="n">
        <v>1030.38</v>
      </c>
      <c r="I846" s="26" t="n">
        <f aca="false">H846/G846</f>
        <v>257.595</v>
      </c>
      <c r="J846" s="10" t="s">
        <v>280</v>
      </c>
      <c r="K846" s="10" t="s">
        <v>281</v>
      </c>
    </row>
    <row r="847" customFormat="false" ht="18.75" hidden="false" customHeight="true" outlineLevel="0" collapsed="false">
      <c r="A847" s="15" t="s">
        <v>1599</v>
      </c>
      <c r="B847" s="15" t="s">
        <v>1243</v>
      </c>
      <c r="C847" s="15" t="s">
        <v>216</v>
      </c>
      <c r="D847" s="15" t="s">
        <v>34</v>
      </c>
      <c r="E847" s="15" t="s">
        <v>284</v>
      </c>
      <c r="F847" s="16" t="n">
        <v>27</v>
      </c>
      <c r="G847" s="16" t="n">
        <v>2</v>
      </c>
      <c r="H847" s="29" t="n">
        <v>1019.5</v>
      </c>
      <c r="I847" s="29" t="n">
        <f aca="false">H847/G847</f>
        <v>509.75</v>
      </c>
      <c r="J847" s="15" t="s">
        <v>280</v>
      </c>
      <c r="K847" s="15" t="s">
        <v>281</v>
      </c>
    </row>
    <row r="848" customFormat="false" ht="18.75" hidden="false" customHeight="true" outlineLevel="0" collapsed="false">
      <c r="A848" s="10" t="s">
        <v>1600</v>
      </c>
      <c r="B848" s="10" t="s">
        <v>1601</v>
      </c>
      <c r="C848" s="10" t="s">
        <v>146</v>
      </c>
      <c r="D848" s="10" t="s">
        <v>34</v>
      </c>
      <c r="E848" s="10" t="s">
        <v>284</v>
      </c>
      <c r="F848" s="11" t="n">
        <v>13</v>
      </c>
      <c r="G848" s="11" t="n">
        <v>2</v>
      </c>
      <c r="H848" s="26" t="n">
        <v>1016.5</v>
      </c>
      <c r="I848" s="26" t="n">
        <f aca="false">H848/G848</f>
        <v>508.25</v>
      </c>
      <c r="J848" s="10" t="s">
        <v>280</v>
      </c>
      <c r="K848" s="10" t="s">
        <v>281</v>
      </c>
    </row>
    <row r="849" customFormat="false" ht="18.75" hidden="false" customHeight="true" outlineLevel="0" collapsed="false">
      <c r="A849" s="15" t="s">
        <v>1602</v>
      </c>
      <c r="B849" s="15" t="s">
        <v>1001</v>
      </c>
      <c r="C849" s="15" t="s">
        <v>155</v>
      </c>
      <c r="D849" s="15" t="s">
        <v>34</v>
      </c>
      <c r="E849" s="15" t="s">
        <v>284</v>
      </c>
      <c r="F849" s="16" t="n">
        <v>37</v>
      </c>
      <c r="G849" s="16" t="n">
        <v>5</v>
      </c>
      <c r="H849" s="29" t="n">
        <v>1009.44</v>
      </c>
      <c r="I849" s="29" t="n">
        <f aca="false">H849/G849</f>
        <v>201.888</v>
      </c>
      <c r="J849" s="15" t="s">
        <v>268</v>
      </c>
      <c r="K849" s="15" t="s">
        <v>269</v>
      </c>
    </row>
    <row r="850" customFormat="false" ht="18.75" hidden="false" customHeight="true" outlineLevel="0" collapsed="false">
      <c r="A850" s="10" t="s">
        <v>1603</v>
      </c>
      <c r="B850" s="10" t="s">
        <v>1208</v>
      </c>
      <c r="C850" s="10" t="s">
        <v>163</v>
      </c>
      <c r="D850" s="10" t="s">
        <v>36</v>
      </c>
      <c r="E850" s="10" t="s">
        <v>284</v>
      </c>
      <c r="F850" s="11" t="n">
        <v>148</v>
      </c>
      <c r="G850" s="11" t="n">
        <v>4</v>
      </c>
      <c r="H850" s="26" t="n">
        <v>1006.35</v>
      </c>
      <c r="I850" s="26" t="n">
        <f aca="false">H850/G850</f>
        <v>251.5875</v>
      </c>
      <c r="J850" s="10" t="s">
        <v>253</v>
      </c>
      <c r="K850" s="10" t="s">
        <v>254</v>
      </c>
    </row>
    <row r="851" customFormat="false" ht="18.75" hidden="false" customHeight="true" outlineLevel="0" collapsed="false">
      <c r="A851" s="15" t="s">
        <v>1604</v>
      </c>
      <c r="B851" s="15" t="s">
        <v>366</v>
      </c>
      <c r="C851" s="15" t="s">
        <v>160</v>
      </c>
      <c r="D851" s="15" t="s">
        <v>36</v>
      </c>
      <c r="E851" s="15" t="s">
        <v>284</v>
      </c>
      <c r="F851" s="16" t="n">
        <v>88</v>
      </c>
      <c r="G851" s="16" t="n">
        <v>2</v>
      </c>
      <c r="H851" s="29" t="n">
        <v>1003.63</v>
      </c>
      <c r="I851" s="29" t="n">
        <f aca="false">H851/G851</f>
        <v>501.815</v>
      </c>
      <c r="J851" s="15" t="s">
        <v>253</v>
      </c>
      <c r="K851" s="15" t="s">
        <v>254</v>
      </c>
    </row>
    <row r="852" customFormat="false" ht="18.75" hidden="false" customHeight="true" outlineLevel="0" collapsed="false">
      <c r="A852" s="10" t="s">
        <v>1605</v>
      </c>
      <c r="B852" s="10" t="s">
        <v>1606</v>
      </c>
      <c r="C852" s="10" t="s">
        <v>199</v>
      </c>
      <c r="D852" s="10" t="s">
        <v>36</v>
      </c>
      <c r="E852" s="10" t="s">
        <v>284</v>
      </c>
      <c r="F852" s="11" t="n">
        <v>101</v>
      </c>
      <c r="G852" s="11" t="n">
        <v>4</v>
      </c>
      <c r="H852" s="26" t="n">
        <v>1003.45</v>
      </c>
      <c r="I852" s="26" t="n">
        <f aca="false">H852/G852</f>
        <v>250.8625</v>
      </c>
      <c r="J852" s="10" t="s">
        <v>253</v>
      </c>
      <c r="K852" s="10" t="s">
        <v>254</v>
      </c>
    </row>
    <row r="853" customFormat="false" ht="18.75" hidden="false" customHeight="true" outlineLevel="0" collapsed="false">
      <c r="A853" s="15" t="s">
        <v>1607</v>
      </c>
      <c r="B853" s="15" t="s">
        <v>1608</v>
      </c>
      <c r="C853" s="15" t="s">
        <v>146</v>
      </c>
      <c r="D853" s="15" t="s">
        <v>34</v>
      </c>
      <c r="E853" s="15" t="s">
        <v>284</v>
      </c>
      <c r="F853" s="16" t="n">
        <v>154</v>
      </c>
      <c r="G853" s="16" t="n">
        <v>1</v>
      </c>
      <c r="H853" s="29" t="n">
        <v>1002.5</v>
      </c>
      <c r="I853" s="29" t="n">
        <f aca="false">H853/G853</f>
        <v>1002.5</v>
      </c>
      <c r="J853" s="15" t="s">
        <v>253</v>
      </c>
      <c r="K853" s="15" t="s">
        <v>254</v>
      </c>
    </row>
    <row r="854" customFormat="false" ht="18.75" hidden="false" customHeight="true" outlineLevel="0" collapsed="false">
      <c r="A854" s="10" t="s">
        <v>1609</v>
      </c>
      <c r="B854" s="10" t="s">
        <v>502</v>
      </c>
      <c r="C854" s="10" t="s">
        <v>166</v>
      </c>
      <c r="D854" s="10" t="s">
        <v>35</v>
      </c>
      <c r="E854" s="10" t="s">
        <v>284</v>
      </c>
      <c r="F854" s="11" t="n">
        <v>60</v>
      </c>
      <c r="G854" s="11" t="n">
        <v>1</v>
      </c>
      <c r="H854" s="26" t="n">
        <v>997.6</v>
      </c>
      <c r="I854" s="26" t="n">
        <f aca="false">H854/G854</f>
        <v>997.6</v>
      </c>
      <c r="J854" s="10" t="s">
        <v>253</v>
      </c>
      <c r="K854" s="10" t="s">
        <v>254</v>
      </c>
    </row>
    <row r="855" customFormat="false" ht="18.75" hidden="false" customHeight="true" outlineLevel="0" collapsed="false">
      <c r="A855" s="15" t="s">
        <v>1610</v>
      </c>
      <c r="B855" s="15" t="s">
        <v>183</v>
      </c>
      <c r="C855" s="15" t="s">
        <v>152</v>
      </c>
      <c r="D855" s="15" t="s">
        <v>35</v>
      </c>
      <c r="E855" s="15" t="s">
        <v>284</v>
      </c>
      <c r="F855" s="16" t="n">
        <v>14</v>
      </c>
      <c r="G855" s="16" t="n">
        <v>2</v>
      </c>
      <c r="H855" s="29" t="n">
        <v>984.45</v>
      </c>
      <c r="I855" s="29" t="n">
        <f aca="false">H855/G855</f>
        <v>492.225</v>
      </c>
      <c r="J855" s="15" t="s">
        <v>280</v>
      </c>
      <c r="K855" s="15" t="s">
        <v>281</v>
      </c>
    </row>
    <row r="856" customFormat="false" ht="18.75" hidden="false" customHeight="true" outlineLevel="0" collapsed="false">
      <c r="A856" s="10" t="s">
        <v>1611</v>
      </c>
      <c r="B856" s="10" t="s">
        <v>480</v>
      </c>
      <c r="C856" s="10" t="s">
        <v>160</v>
      </c>
      <c r="D856" s="10" t="s">
        <v>36</v>
      </c>
      <c r="E856" s="10" t="s">
        <v>284</v>
      </c>
      <c r="F856" s="11" t="n">
        <v>56</v>
      </c>
      <c r="G856" s="11" t="n">
        <v>1</v>
      </c>
      <c r="H856" s="26" t="n">
        <v>983.7</v>
      </c>
      <c r="I856" s="26" t="n">
        <f aca="false">H856/G856</f>
        <v>983.7</v>
      </c>
      <c r="J856" s="10" t="s">
        <v>253</v>
      </c>
      <c r="K856" s="10" t="s">
        <v>254</v>
      </c>
    </row>
    <row r="857" customFormat="false" ht="18.75" hidden="false" customHeight="true" outlineLevel="0" collapsed="false">
      <c r="A857" s="15" t="s">
        <v>1612</v>
      </c>
      <c r="B857" s="15" t="s">
        <v>1613</v>
      </c>
      <c r="C857" s="15" t="s">
        <v>226</v>
      </c>
      <c r="D857" s="15" t="s">
        <v>36</v>
      </c>
      <c r="E857" s="15" t="s">
        <v>284</v>
      </c>
      <c r="F857" s="16" t="n">
        <v>91</v>
      </c>
      <c r="G857" s="16" t="n">
        <v>1</v>
      </c>
      <c r="H857" s="29" t="n">
        <v>981</v>
      </c>
      <c r="I857" s="29" t="n">
        <f aca="false">H857/G857</f>
        <v>981</v>
      </c>
      <c r="J857" s="15" t="s">
        <v>253</v>
      </c>
      <c r="K857" s="15" t="s">
        <v>254</v>
      </c>
    </row>
    <row r="858" customFormat="false" ht="18.75" hidden="false" customHeight="true" outlineLevel="0" collapsed="false">
      <c r="A858" s="10" t="s">
        <v>1614</v>
      </c>
      <c r="B858" s="10" t="s">
        <v>377</v>
      </c>
      <c r="C858" s="10" t="s">
        <v>149</v>
      </c>
      <c r="D858" s="10" t="s">
        <v>35</v>
      </c>
      <c r="E858" s="10" t="s">
        <v>284</v>
      </c>
      <c r="F858" s="11" t="n">
        <v>101</v>
      </c>
      <c r="G858" s="11" t="n">
        <v>3</v>
      </c>
      <c r="H858" s="26" t="n">
        <v>960.38</v>
      </c>
      <c r="I858" s="26" t="n">
        <f aca="false">H858/G858</f>
        <v>320.126666666667</v>
      </c>
      <c r="J858" s="10" t="s">
        <v>253</v>
      </c>
      <c r="K858" s="10" t="s">
        <v>254</v>
      </c>
    </row>
    <row r="859" customFormat="false" ht="18.75" hidden="false" customHeight="true" outlineLevel="0" collapsed="false">
      <c r="A859" s="15" t="s">
        <v>1615</v>
      </c>
      <c r="B859" s="15" t="s">
        <v>1616</v>
      </c>
      <c r="C859" s="15" t="s">
        <v>219</v>
      </c>
      <c r="D859" s="15" t="s">
        <v>35</v>
      </c>
      <c r="E859" s="15" t="s">
        <v>284</v>
      </c>
      <c r="F859" s="16" t="n">
        <v>273</v>
      </c>
      <c r="G859" s="16" t="n">
        <v>2</v>
      </c>
      <c r="H859" s="29" t="n">
        <v>960.1</v>
      </c>
      <c r="I859" s="29" t="n">
        <f aca="false">H859/G859</f>
        <v>480.05</v>
      </c>
      <c r="J859" s="15" t="s">
        <v>253</v>
      </c>
      <c r="K859" s="15" t="s">
        <v>254</v>
      </c>
    </row>
    <row r="860" customFormat="false" ht="18.75" hidden="false" customHeight="true" outlineLevel="0" collapsed="false">
      <c r="A860" s="10" t="s">
        <v>1617</v>
      </c>
      <c r="B860" s="10" t="s">
        <v>1618</v>
      </c>
      <c r="C860" s="10" t="s">
        <v>184</v>
      </c>
      <c r="D860" s="10" t="s">
        <v>34</v>
      </c>
      <c r="E860" s="10" t="s">
        <v>284</v>
      </c>
      <c r="F860" s="11" t="n">
        <v>40</v>
      </c>
      <c r="G860" s="11" t="n">
        <v>2</v>
      </c>
      <c r="H860" s="26" t="n">
        <v>959.6</v>
      </c>
      <c r="I860" s="26" t="n">
        <f aca="false">H860/G860</f>
        <v>479.8</v>
      </c>
      <c r="J860" s="10" t="s">
        <v>280</v>
      </c>
      <c r="K860" s="10" t="s">
        <v>281</v>
      </c>
    </row>
    <row r="861" customFormat="false" ht="18.75" hidden="false" customHeight="true" outlineLevel="0" collapsed="false">
      <c r="A861" s="15" t="s">
        <v>1619</v>
      </c>
      <c r="B861" s="15" t="s">
        <v>1620</v>
      </c>
      <c r="C861" s="15" t="s">
        <v>160</v>
      </c>
      <c r="D861" s="15" t="s">
        <v>36</v>
      </c>
      <c r="E861" s="15" t="s">
        <v>284</v>
      </c>
      <c r="F861" s="16" t="n">
        <v>45</v>
      </c>
      <c r="G861" s="16" t="n">
        <v>2</v>
      </c>
      <c r="H861" s="29" t="n">
        <v>958</v>
      </c>
      <c r="I861" s="29" t="n">
        <f aca="false">H861/G861</f>
        <v>479</v>
      </c>
      <c r="J861" s="15" t="s">
        <v>280</v>
      </c>
      <c r="K861" s="15" t="s">
        <v>281</v>
      </c>
    </row>
    <row r="862" customFormat="false" ht="18.75" hidden="false" customHeight="true" outlineLevel="0" collapsed="false">
      <c r="A862" s="10" t="s">
        <v>1621</v>
      </c>
      <c r="B862" s="10" t="s">
        <v>1622</v>
      </c>
      <c r="C862" s="10" t="s">
        <v>216</v>
      </c>
      <c r="D862" s="10" t="s">
        <v>34</v>
      </c>
      <c r="E862" s="10" t="s">
        <v>384</v>
      </c>
      <c r="F862" s="11" t="n">
        <v>38</v>
      </c>
      <c r="G862" s="11" t="n">
        <v>2</v>
      </c>
      <c r="H862" s="26" t="n">
        <v>951.3</v>
      </c>
      <c r="I862" s="26" t="n">
        <f aca="false">H862/G862</f>
        <v>475.65</v>
      </c>
      <c r="J862" s="10" t="s">
        <v>280</v>
      </c>
      <c r="K862" s="10" t="s">
        <v>281</v>
      </c>
    </row>
    <row r="863" customFormat="false" ht="18.75" hidden="false" customHeight="true" outlineLevel="0" collapsed="false">
      <c r="A863" s="15" t="s">
        <v>1623</v>
      </c>
      <c r="B863" s="15" t="s">
        <v>1012</v>
      </c>
      <c r="C863" s="15" t="s">
        <v>160</v>
      </c>
      <c r="D863" s="15" t="s">
        <v>36</v>
      </c>
      <c r="E863" s="15" t="s">
        <v>284</v>
      </c>
      <c r="F863" s="16" t="n">
        <v>57</v>
      </c>
      <c r="G863" s="16" t="n">
        <v>3</v>
      </c>
      <c r="H863" s="29" t="n">
        <v>945.88</v>
      </c>
      <c r="I863" s="29" t="n">
        <f aca="false">H863/G863</f>
        <v>315.293333333333</v>
      </c>
      <c r="J863" s="15" t="s">
        <v>253</v>
      </c>
      <c r="K863" s="15" t="s">
        <v>254</v>
      </c>
    </row>
    <row r="864" customFormat="false" ht="18.75" hidden="false" customHeight="true" outlineLevel="0" collapsed="false">
      <c r="A864" s="10" t="s">
        <v>1624</v>
      </c>
      <c r="B864" s="10" t="s">
        <v>1625</v>
      </c>
      <c r="C864" s="10" t="s">
        <v>152</v>
      </c>
      <c r="D864" s="10" t="s">
        <v>35</v>
      </c>
      <c r="E864" s="10" t="s">
        <v>284</v>
      </c>
      <c r="F864" s="11" t="n">
        <v>9</v>
      </c>
      <c r="G864" s="11" t="n">
        <v>4</v>
      </c>
      <c r="H864" s="26" t="n">
        <v>939.87</v>
      </c>
      <c r="I864" s="26" t="n">
        <f aca="false">H864/G864</f>
        <v>234.9675</v>
      </c>
      <c r="J864" s="10" t="s">
        <v>280</v>
      </c>
      <c r="K864" s="10" t="s">
        <v>281</v>
      </c>
    </row>
    <row r="865" customFormat="false" ht="18.75" hidden="false" customHeight="true" outlineLevel="0" collapsed="false">
      <c r="A865" s="15" t="s">
        <v>1626</v>
      </c>
      <c r="B865" s="15" t="s">
        <v>835</v>
      </c>
      <c r="C865" s="15" t="s">
        <v>149</v>
      </c>
      <c r="D865" s="15" t="s">
        <v>35</v>
      </c>
      <c r="E865" s="15" t="s">
        <v>284</v>
      </c>
      <c r="F865" s="16" t="n">
        <v>211</v>
      </c>
      <c r="G865" s="16" t="n">
        <v>2</v>
      </c>
      <c r="H865" s="29" t="n">
        <v>934.7</v>
      </c>
      <c r="I865" s="29" t="n">
        <f aca="false">H865/G865</f>
        <v>467.35</v>
      </c>
      <c r="J865" s="15" t="s">
        <v>253</v>
      </c>
      <c r="K865" s="15" t="s">
        <v>254</v>
      </c>
    </row>
    <row r="866" customFormat="false" ht="18.75" hidden="false" customHeight="true" outlineLevel="0" collapsed="false">
      <c r="A866" s="10" t="s">
        <v>1627</v>
      </c>
      <c r="B866" s="10" t="s">
        <v>719</v>
      </c>
      <c r="C866" s="10" t="s">
        <v>216</v>
      </c>
      <c r="D866" s="10" t="s">
        <v>34</v>
      </c>
      <c r="E866" s="10" t="s">
        <v>284</v>
      </c>
      <c r="F866" s="11" t="n">
        <v>113</v>
      </c>
      <c r="G866" s="11" t="n">
        <v>3</v>
      </c>
      <c r="H866" s="26" t="n">
        <v>931.88</v>
      </c>
      <c r="I866" s="26" t="n">
        <f aca="false">H866/G866</f>
        <v>310.626666666667</v>
      </c>
      <c r="J866" s="10" t="s">
        <v>253</v>
      </c>
      <c r="K866" s="10" t="s">
        <v>254</v>
      </c>
    </row>
    <row r="867" customFormat="false" ht="18.75" hidden="false" customHeight="true" outlineLevel="0" collapsed="false">
      <c r="A867" s="15" t="s">
        <v>1628</v>
      </c>
      <c r="B867" s="15" t="s">
        <v>308</v>
      </c>
      <c r="C867" s="15" t="s">
        <v>216</v>
      </c>
      <c r="D867" s="15" t="s">
        <v>34</v>
      </c>
      <c r="E867" s="15" t="s">
        <v>284</v>
      </c>
      <c r="F867" s="16" t="n">
        <v>121</v>
      </c>
      <c r="G867" s="16" t="n">
        <v>2</v>
      </c>
      <c r="H867" s="29" t="n">
        <v>919.25</v>
      </c>
      <c r="I867" s="29" t="n">
        <f aca="false">H867/G867</f>
        <v>459.625</v>
      </c>
      <c r="J867" s="15" t="s">
        <v>253</v>
      </c>
      <c r="K867" s="15" t="s">
        <v>254</v>
      </c>
    </row>
    <row r="868" customFormat="false" ht="18.75" hidden="false" customHeight="true" outlineLevel="0" collapsed="false">
      <c r="A868" s="10" t="s">
        <v>1629</v>
      </c>
      <c r="B868" s="10" t="s">
        <v>396</v>
      </c>
      <c r="C868" s="10" t="s">
        <v>140</v>
      </c>
      <c r="D868" s="10" t="s">
        <v>35</v>
      </c>
      <c r="E868" s="10" t="s">
        <v>284</v>
      </c>
      <c r="F868" s="11" t="n">
        <v>113</v>
      </c>
      <c r="G868" s="11" t="n">
        <v>4</v>
      </c>
      <c r="H868" s="26" t="n">
        <v>917.98</v>
      </c>
      <c r="I868" s="26" t="n">
        <f aca="false">H868/G868</f>
        <v>229.495</v>
      </c>
      <c r="J868" s="10" t="s">
        <v>253</v>
      </c>
      <c r="K868" s="10" t="s">
        <v>254</v>
      </c>
    </row>
    <row r="869" customFormat="false" ht="18.75" hidden="false" customHeight="true" outlineLevel="0" collapsed="false">
      <c r="A869" s="15" t="s">
        <v>1630</v>
      </c>
      <c r="B869" s="15" t="s">
        <v>748</v>
      </c>
      <c r="C869" s="15" t="s">
        <v>184</v>
      </c>
      <c r="D869" s="15" t="s">
        <v>34</v>
      </c>
      <c r="E869" s="15" t="s">
        <v>284</v>
      </c>
      <c r="F869" s="16" t="n">
        <v>19</v>
      </c>
      <c r="G869" s="16" t="n">
        <v>3</v>
      </c>
      <c r="H869" s="29" t="n">
        <v>914</v>
      </c>
      <c r="I869" s="29" t="n">
        <f aca="false">H869/G869</f>
        <v>304.666666666667</v>
      </c>
      <c r="J869" s="15" t="s">
        <v>280</v>
      </c>
      <c r="K869" s="15" t="s">
        <v>281</v>
      </c>
    </row>
    <row r="870" customFormat="false" ht="18.75" hidden="false" customHeight="true" outlineLevel="0" collapsed="false">
      <c r="A870" s="10" t="s">
        <v>1631</v>
      </c>
      <c r="B870" s="10" t="s">
        <v>498</v>
      </c>
      <c r="C870" s="10" t="s">
        <v>140</v>
      </c>
      <c r="D870" s="10" t="s">
        <v>35</v>
      </c>
      <c r="E870" s="10" t="s">
        <v>284</v>
      </c>
      <c r="F870" s="11" t="n">
        <v>11</v>
      </c>
      <c r="G870" s="11" t="n">
        <v>3</v>
      </c>
      <c r="H870" s="26" t="n">
        <v>912.15</v>
      </c>
      <c r="I870" s="26" t="n">
        <f aca="false">H870/G870</f>
        <v>304.05</v>
      </c>
      <c r="J870" s="10" t="s">
        <v>280</v>
      </c>
      <c r="K870" s="10" t="s">
        <v>281</v>
      </c>
    </row>
    <row r="871" customFormat="false" ht="18.75" hidden="false" customHeight="true" outlineLevel="0" collapsed="false">
      <c r="A871" s="15" t="s">
        <v>1632</v>
      </c>
      <c r="B871" s="15" t="s">
        <v>1633</v>
      </c>
      <c r="C871" s="15" t="s">
        <v>160</v>
      </c>
      <c r="D871" s="15" t="s">
        <v>36</v>
      </c>
      <c r="E871" s="15" t="s">
        <v>284</v>
      </c>
      <c r="F871" s="16" t="n">
        <v>153</v>
      </c>
      <c r="G871" s="16" t="n">
        <v>2</v>
      </c>
      <c r="H871" s="29" t="n">
        <v>911.35</v>
      </c>
      <c r="I871" s="29" t="n">
        <f aca="false">H871/G871</f>
        <v>455.675</v>
      </c>
      <c r="J871" s="15" t="s">
        <v>253</v>
      </c>
      <c r="K871" s="15" t="s">
        <v>254</v>
      </c>
    </row>
    <row r="872" customFormat="false" ht="18.75" hidden="false" customHeight="true" outlineLevel="0" collapsed="false">
      <c r="A872" s="10" t="s">
        <v>1634</v>
      </c>
      <c r="B872" s="10" t="s">
        <v>290</v>
      </c>
      <c r="C872" s="10" t="s">
        <v>155</v>
      </c>
      <c r="D872" s="10" t="s">
        <v>34</v>
      </c>
      <c r="E872" s="10" t="s">
        <v>284</v>
      </c>
      <c r="F872" s="11" t="n">
        <v>208</v>
      </c>
      <c r="G872" s="11" t="n">
        <v>2</v>
      </c>
      <c r="H872" s="26" t="n">
        <v>911</v>
      </c>
      <c r="I872" s="26" t="n">
        <f aca="false">H872/G872</f>
        <v>455.5</v>
      </c>
      <c r="J872" s="10" t="s">
        <v>253</v>
      </c>
      <c r="K872" s="10" t="s">
        <v>254</v>
      </c>
    </row>
    <row r="873" customFormat="false" ht="18.75" hidden="false" customHeight="true" outlineLevel="0" collapsed="false">
      <c r="A873" s="15" t="s">
        <v>1635</v>
      </c>
      <c r="B873" s="15" t="s">
        <v>752</v>
      </c>
      <c r="C873" s="15" t="s">
        <v>146</v>
      </c>
      <c r="D873" s="15" t="s">
        <v>34</v>
      </c>
      <c r="E873" s="15" t="s">
        <v>284</v>
      </c>
      <c r="F873" s="16" t="n">
        <v>267</v>
      </c>
      <c r="G873" s="16" t="n">
        <v>1</v>
      </c>
      <c r="H873" s="29" t="n">
        <v>896.3</v>
      </c>
      <c r="I873" s="29" t="n">
        <f aca="false">H873/G873</f>
        <v>896.3</v>
      </c>
      <c r="J873" s="15" t="s">
        <v>253</v>
      </c>
      <c r="K873" s="15" t="s">
        <v>254</v>
      </c>
    </row>
    <row r="874" customFormat="false" ht="18.75" hidden="false" customHeight="true" outlineLevel="0" collapsed="false">
      <c r="A874" s="10" t="s">
        <v>1636</v>
      </c>
      <c r="B874" s="10" t="s">
        <v>422</v>
      </c>
      <c r="C874" s="10" t="s">
        <v>152</v>
      </c>
      <c r="D874" s="10" t="s">
        <v>35</v>
      </c>
      <c r="E874" s="10" t="s">
        <v>284</v>
      </c>
      <c r="F874" s="11" t="n">
        <v>91</v>
      </c>
      <c r="G874" s="11" t="n">
        <v>1</v>
      </c>
      <c r="H874" s="26" t="n">
        <v>891.8</v>
      </c>
      <c r="I874" s="26" t="n">
        <f aca="false">H874/G874</f>
        <v>891.8</v>
      </c>
      <c r="J874" s="10" t="s">
        <v>253</v>
      </c>
      <c r="K874" s="10" t="s">
        <v>254</v>
      </c>
    </row>
    <row r="875" customFormat="false" ht="18.75" hidden="false" customHeight="true" outlineLevel="0" collapsed="false">
      <c r="A875" s="15" t="s">
        <v>1637</v>
      </c>
      <c r="B875" s="15" t="s">
        <v>1145</v>
      </c>
      <c r="C875" s="15" t="s">
        <v>160</v>
      </c>
      <c r="D875" s="15" t="s">
        <v>36</v>
      </c>
      <c r="E875" s="15" t="s">
        <v>284</v>
      </c>
      <c r="F875" s="16" t="n">
        <v>12</v>
      </c>
      <c r="G875" s="16" t="n">
        <v>5</v>
      </c>
      <c r="H875" s="29" t="n">
        <v>888.7</v>
      </c>
      <c r="I875" s="29" t="n">
        <f aca="false">H875/G875</f>
        <v>177.74</v>
      </c>
      <c r="J875" s="15" t="s">
        <v>268</v>
      </c>
      <c r="K875" s="15" t="s">
        <v>269</v>
      </c>
    </row>
    <row r="876" customFormat="false" ht="18.75" hidden="false" customHeight="true" outlineLevel="0" collapsed="false">
      <c r="A876" s="10" t="s">
        <v>1638</v>
      </c>
      <c r="B876" s="10" t="s">
        <v>350</v>
      </c>
      <c r="C876" s="10" t="s">
        <v>166</v>
      </c>
      <c r="D876" s="10" t="s">
        <v>35</v>
      </c>
      <c r="E876" s="10" t="s">
        <v>284</v>
      </c>
      <c r="F876" s="11" t="n">
        <v>77</v>
      </c>
      <c r="G876" s="11" t="n">
        <v>3</v>
      </c>
      <c r="H876" s="26" t="n">
        <v>884.7</v>
      </c>
      <c r="I876" s="26" t="n">
        <f aca="false">H876/G876</f>
        <v>294.9</v>
      </c>
      <c r="J876" s="10" t="s">
        <v>253</v>
      </c>
      <c r="K876" s="10" t="s">
        <v>254</v>
      </c>
    </row>
    <row r="877" customFormat="false" ht="18.75" hidden="false" customHeight="true" outlineLevel="0" collapsed="false">
      <c r="A877" s="15" t="s">
        <v>1639</v>
      </c>
      <c r="B877" s="15" t="s">
        <v>1640</v>
      </c>
      <c r="C877" s="15" t="s">
        <v>219</v>
      </c>
      <c r="D877" s="15" t="s">
        <v>35</v>
      </c>
      <c r="E877" s="15" t="s">
        <v>284</v>
      </c>
      <c r="F877" s="16" t="n">
        <v>24</v>
      </c>
      <c r="G877" s="16" t="n">
        <v>3</v>
      </c>
      <c r="H877" s="29" t="n">
        <v>876.15</v>
      </c>
      <c r="I877" s="29" t="n">
        <f aca="false">H877/G877</f>
        <v>292.05</v>
      </c>
      <c r="J877" s="15" t="s">
        <v>280</v>
      </c>
      <c r="K877" s="15" t="s">
        <v>281</v>
      </c>
    </row>
    <row r="878" customFormat="false" ht="18.75" hidden="false" customHeight="true" outlineLevel="0" collapsed="false">
      <c r="A878" s="10" t="s">
        <v>1641</v>
      </c>
      <c r="B878" s="10" t="s">
        <v>1642</v>
      </c>
      <c r="C878" s="10" t="s">
        <v>160</v>
      </c>
      <c r="D878" s="10" t="s">
        <v>36</v>
      </c>
      <c r="E878" s="10" t="s">
        <v>284</v>
      </c>
      <c r="F878" s="11" t="n">
        <v>16</v>
      </c>
      <c r="G878" s="11" t="n">
        <v>3</v>
      </c>
      <c r="H878" s="26" t="n">
        <v>874.1</v>
      </c>
      <c r="I878" s="26" t="n">
        <f aca="false">H878/G878</f>
        <v>291.366666666667</v>
      </c>
      <c r="J878" s="10" t="s">
        <v>280</v>
      </c>
      <c r="K878" s="10" t="s">
        <v>281</v>
      </c>
    </row>
    <row r="879" customFormat="false" ht="18.75" hidden="false" customHeight="true" outlineLevel="0" collapsed="false">
      <c r="A879" s="15" t="s">
        <v>1643</v>
      </c>
      <c r="B879" s="15" t="s">
        <v>1644</v>
      </c>
      <c r="C879" s="15" t="s">
        <v>146</v>
      </c>
      <c r="D879" s="15" t="s">
        <v>34</v>
      </c>
      <c r="E879" s="15" t="s">
        <v>284</v>
      </c>
      <c r="F879" s="16" t="n">
        <v>33</v>
      </c>
      <c r="G879" s="16" t="n">
        <v>2</v>
      </c>
      <c r="H879" s="29" t="n">
        <v>871.81</v>
      </c>
      <c r="I879" s="29" t="n">
        <f aca="false">H879/G879</f>
        <v>435.905</v>
      </c>
      <c r="J879" s="15" t="s">
        <v>280</v>
      </c>
      <c r="K879" s="15" t="s">
        <v>281</v>
      </c>
    </row>
    <row r="880" customFormat="false" ht="18.75" hidden="false" customHeight="true" outlineLevel="0" collapsed="false">
      <c r="A880" s="10" t="s">
        <v>1645</v>
      </c>
      <c r="B880" s="10" t="s">
        <v>1646</v>
      </c>
      <c r="C880" s="10" t="s">
        <v>184</v>
      </c>
      <c r="D880" s="10" t="s">
        <v>34</v>
      </c>
      <c r="E880" s="10" t="s">
        <v>284</v>
      </c>
      <c r="F880" s="11" t="n">
        <v>21</v>
      </c>
      <c r="G880" s="11" t="n">
        <v>4</v>
      </c>
      <c r="H880" s="26" t="n">
        <v>869.74</v>
      </c>
      <c r="I880" s="26" t="n">
        <f aca="false">H880/G880</f>
        <v>217.435</v>
      </c>
      <c r="J880" s="10" t="s">
        <v>280</v>
      </c>
      <c r="K880" s="10" t="s">
        <v>281</v>
      </c>
    </row>
    <row r="881" customFormat="false" ht="18.75" hidden="false" customHeight="true" outlineLevel="0" collapsed="false">
      <c r="A881" s="15" t="s">
        <v>1647</v>
      </c>
      <c r="B881" s="15" t="s">
        <v>1648</v>
      </c>
      <c r="C881" s="15" t="s">
        <v>152</v>
      </c>
      <c r="D881" s="15" t="s">
        <v>35</v>
      </c>
      <c r="E881" s="15" t="s">
        <v>284</v>
      </c>
      <c r="F881" s="16" t="n">
        <v>58</v>
      </c>
      <c r="G881" s="16" t="n">
        <v>2</v>
      </c>
      <c r="H881" s="29" t="n">
        <v>858.27</v>
      </c>
      <c r="I881" s="29" t="n">
        <f aca="false">H881/G881</f>
        <v>429.135</v>
      </c>
      <c r="J881" s="15" t="s">
        <v>253</v>
      </c>
      <c r="K881" s="15" t="s">
        <v>254</v>
      </c>
    </row>
    <row r="882" customFormat="false" ht="18.75" hidden="false" customHeight="true" outlineLevel="0" collapsed="false">
      <c r="A882" s="10" t="s">
        <v>1649</v>
      </c>
      <c r="B882" s="10" t="s">
        <v>1650</v>
      </c>
      <c r="C882" s="10" t="s">
        <v>155</v>
      </c>
      <c r="D882" s="10" t="s">
        <v>34</v>
      </c>
      <c r="E882" s="10" t="s">
        <v>384</v>
      </c>
      <c r="F882" s="11" t="n">
        <v>169</v>
      </c>
      <c r="G882" s="11" t="n">
        <v>4</v>
      </c>
      <c r="H882" s="26" t="n">
        <v>849</v>
      </c>
      <c r="I882" s="26" t="n">
        <f aca="false">H882/G882</f>
        <v>212.25</v>
      </c>
      <c r="J882" s="10" t="s">
        <v>253</v>
      </c>
      <c r="K882" s="10" t="s">
        <v>254</v>
      </c>
    </row>
    <row r="883" customFormat="false" ht="18.75" hidden="false" customHeight="true" outlineLevel="0" collapsed="false">
      <c r="A883" s="15" t="s">
        <v>1651</v>
      </c>
      <c r="B883" s="15" t="s">
        <v>1652</v>
      </c>
      <c r="C883" s="15" t="s">
        <v>199</v>
      </c>
      <c r="D883" s="15" t="s">
        <v>36</v>
      </c>
      <c r="E883" s="15" t="s">
        <v>284</v>
      </c>
      <c r="F883" s="16" t="n">
        <v>109</v>
      </c>
      <c r="G883" s="16" t="n">
        <v>3</v>
      </c>
      <c r="H883" s="29" t="n">
        <v>842.25</v>
      </c>
      <c r="I883" s="29" t="n">
        <f aca="false">H883/G883</f>
        <v>280.75</v>
      </c>
      <c r="J883" s="15" t="s">
        <v>253</v>
      </c>
      <c r="K883" s="15" t="s">
        <v>254</v>
      </c>
    </row>
    <row r="884" customFormat="false" ht="18.75" hidden="false" customHeight="true" outlineLevel="0" collapsed="false">
      <c r="A884" s="10" t="s">
        <v>1653</v>
      </c>
      <c r="B884" s="10" t="s">
        <v>344</v>
      </c>
      <c r="C884" s="10" t="s">
        <v>163</v>
      </c>
      <c r="D884" s="10" t="s">
        <v>36</v>
      </c>
      <c r="E884" s="10" t="s">
        <v>284</v>
      </c>
      <c r="F884" s="11" t="n">
        <v>36</v>
      </c>
      <c r="G884" s="11" t="n">
        <v>4</v>
      </c>
      <c r="H884" s="26" t="n">
        <v>837.97</v>
      </c>
      <c r="I884" s="26" t="n">
        <f aca="false">H884/G884</f>
        <v>209.4925</v>
      </c>
      <c r="J884" s="10" t="s">
        <v>280</v>
      </c>
      <c r="K884" s="10" t="s">
        <v>281</v>
      </c>
    </row>
    <row r="885" customFormat="false" ht="18.75" hidden="false" customHeight="true" outlineLevel="0" collapsed="false">
      <c r="A885" s="15" t="s">
        <v>1654</v>
      </c>
      <c r="B885" s="15" t="s">
        <v>910</v>
      </c>
      <c r="C885" s="15" t="s">
        <v>160</v>
      </c>
      <c r="D885" s="15" t="s">
        <v>36</v>
      </c>
      <c r="E885" s="15" t="s">
        <v>284</v>
      </c>
      <c r="F885" s="16" t="n">
        <v>43</v>
      </c>
      <c r="G885" s="16" t="n">
        <v>4</v>
      </c>
      <c r="H885" s="29" t="n">
        <v>836.24</v>
      </c>
      <c r="I885" s="29" t="n">
        <f aca="false">H885/G885</f>
        <v>209.06</v>
      </c>
      <c r="J885" s="15" t="s">
        <v>280</v>
      </c>
      <c r="K885" s="15" t="s">
        <v>281</v>
      </c>
    </row>
    <row r="886" customFormat="false" ht="18.75" hidden="false" customHeight="true" outlineLevel="0" collapsed="false">
      <c r="A886" s="10" t="s">
        <v>1655</v>
      </c>
      <c r="B886" s="10" t="s">
        <v>977</v>
      </c>
      <c r="C886" s="10" t="s">
        <v>163</v>
      </c>
      <c r="D886" s="10" t="s">
        <v>36</v>
      </c>
      <c r="E886" s="10" t="s">
        <v>284</v>
      </c>
      <c r="F886" s="11" t="n">
        <v>161</v>
      </c>
      <c r="G886" s="11" t="n">
        <v>1</v>
      </c>
      <c r="H886" s="26" t="n">
        <v>827.5</v>
      </c>
      <c r="I886" s="26" t="n">
        <f aca="false">H886/G886</f>
        <v>827.5</v>
      </c>
      <c r="J886" s="10" t="s">
        <v>253</v>
      </c>
      <c r="K886" s="10" t="s">
        <v>254</v>
      </c>
    </row>
    <row r="887" customFormat="false" ht="18.75" hidden="false" customHeight="true" outlineLevel="0" collapsed="false">
      <c r="A887" s="15" t="s">
        <v>1656</v>
      </c>
      <c r="B887" s="15" t="s">
        <v>1657</v>
      </c>
      <c r="C887" s="15" t="s">
        <v>140</v>
      </c>
      <c r="D887" s="15" t="s">
        <v>35</v>
      </c>
      <c r="E887" s="15" t="s">
        <v>284</v>
      </c>
      <c r="F887" s="16" t="n">
        <v>28</v>
      </c>
      <c r="G887" s="16" t="n">
        <v>1</v>
      </c>
      <c r="H887" s="29" t="n">
        <v>824.45</v>
      </c>
      <c r="I887" s="29" t="n">
        <f aca="false">H887/G887</f>
        <v>824.45</v>
      </c>
      <c r="J887" s="15" t="s">
        <v>280</v>
      </c>
      <c r="K887" s="15" t="s">
        <v>281</v>
      </c>
    </row>
    <row r="888" customFormat="false" ht="18.75" hidden="false" customHeight="true" outlineLevel="0" collapsed="false">
      <c r="A888" s="10" t="s">
        <v>1658</v>
      </c>
      <c r="B888" s="10" t="s">
        <v>826</v>
      </c>
      <c r="C888" s="10" t="s">
        <v>216</v>
      </c>
      <c r="D888" s="10" t="s">
        <v>34</v>
      </c>
      <c r="E888" s="10" t="s">
        <v>284</v>
      </c>
      <c r="F888" s="11" t="n">
        <v>64</v>
      </c>
      <c r="G888" s="11" t="n">
        <v>4</v>
      </c>
      <c r="H888" s="26" t="n">
        <v>813.35</v>
      </c>
      <c r="I888" s="26" t="n">
        <f aca="false">H888/G888</f>
        <v>203.3375</v>
      </c>
      <c r="J888" s="10" t="s">
        <v>253</v>
      </c>
      <c r="K888" s="10" t="s">
        <v>254</v>
      </c>
    </row>
    <row r="889" customFormat="false" ht="18.75" hidden="false" customHeight="true" outlineLevel="0" collapsed="false">
      <c r="A889" s="15" t="s">
        <v>1659</v>
      </c>
      <c r="B889" s="15" t="s">
        <v>180</v>
      </c>
      <c r="C889" s="15" t="s">
        <v>140</v>
      </c>
      <c r="D889" s="15" t="s">
        <v>35</v>
      </c>
      <c r="E889" s="15" t="s">
        <v>284</v>
      </c>
      <c r="F889" s="16" t="n">
        <v>6</v>
      </c>
      <c r="G889" s="16" t="n">
        <v>2</v>
      </c>
      <c r="H889" s="29" t="n">
        <v>811</v>
      </c>
      <c r="I889" s="29" t="n">
        <f aca="false">H889/G889</f>
        <v>405.5</v>
      </c>
      <c r="J889" s="15" t="s">
        <v>280</v>
      </c>
      <c r="K889" s="15" t="s">
        <v>281</v>
      </c>
    </row>
    <row r="890" customFormat="false" ht="18.75" hidden="false" customHeight="true" outlineLevel="0" collapsed="false">
      <c r="A890" s="10" t="s">
        <v>1660</v>
      </c>
      <c r="B890" s="10" t="s">
        <v>624</v>
      </c>
      <c r="C890" s="10" t="s">
        <v>207</v>
      </c>
      <c r="D890" s="10" t="s">
        <v>35</v>
      </c>
      <c r="E890" s="10" t="s">
        <v>284</v>
      </c>
      <c r="F890" s="11" t="n">
        <v>54</v>
      </c>
      <c r="G890" s="11" t="n">
        <v>2</v>
      </c>
      <c r="H890" s="26" t="n">
        <v>807.93</v>
      </c>
      <c r="I890" s="26" t="n">
        <f aca="false">H890/G890</f>
        <v>403.965</v>
      </c>
      <c r="J890" s="10" t="s">
        <v>253</v>
      </c>
      <c r="K890" s="10" t="s">
        <v>254</v>
      </c>
    </row>
    <row r="891" customFormat="false" ht="18.75" hidden="false" customHeight="true" outlineLevel="0" collapsed="false">
      <c r="A891" s="15" t="s">
        <v>1661</v>
      </c>
      <c r="B891" s="15" t="s">
        <v>416</v>
      </c>
      <c r="C891" s="15" t="s">
        <v>166</v>
      </c>
      <c r="D891" s="15" t="s">
        <v>35</v>
      </c>
      <c r="E891" s="15" t="s">
        <v>284</v>
      </c>
      <c r="F891" s="16" t="n">
        <v>116</v>
      </c>
      <c r="G891" s="16" t="n">
        <v>2</v>
      </c>
      <c r="H891" s="29" t="n">
        <v>796.05</v>
      </c>
      <c r="I891" s="29" t="n">
        <f aca="false">H891/G891</f>
        <v>398.025</v>
      </c>
      <c r="J891" s="15" t="s">
        <v>253</v>
      </c>
      <c r="K891" s="15" t="s">
        <v>254</v>
      </c>
    </row>
    <row r="892" customFormat="false" ht="18.75" hidden="false" customHeight="true" outlineLevel="0" collapsed="false">
      <c r="A892" s="10" t="s">
        <v>1662</v>
      </c>
      <c r="B892" s="10" t="s">
        <v>617</v>
      </c>
      <c r="C892" s="10" t="s">
        <v>155</v>
      </c>
      <c r="D892" s="10" t="s">
        <v>34</v>
      </c>
      <c r="E892" s="10" t="s">
        <v>384</v>
      </c>
      <c r="F892" s="11" t="n">
        <v>125</v>
      </c>
      <c r="G892" s="11" t="n">
        <v>1</v>
      </c>
      <c r="H892" s="26" t="n">
        <v>790.3</v>
      </c>
      <c r="I892" s="26" t="n">
        <f aca="false">H892/G892</f>
        <v>790.3</v>
      </c>
      <c r="J892" s="10" t="s">
        <v>253</v>
      </c>
      <c r="K892" s="10" t="s">
        <v>254</v>
      </c>
    </row>
    <row r="893" customFormat="false" ht="18.75" hidden="false" customHeight="true" outlineLevel="0" collapsed="false">
      <c r="A893" s="15" t="s">
        <v>1663</v>
      </c>
      <c r="B893" s="15" t="s">
        <v>326</v>
      </c>
      <c r="C893" s="15" t="s">
        <v>199</v>
      </c>
      <c r="D893" s="15" t="s">
        <v>36</v>
      </c>
      <c r="E893" s="15" t="s">
        <v>284</v>
      </c>
      <c r="F893" s="16" t="n">
        <v>215</v>
      </c>
      <c r="G893" s="16" t="n">
        <v>1</v>
      </c>
      <c r="H893" s="29" t="n">
        <v>787</v>
      </c>
      <c r="I893" s="29" t="n">
        <f aca="false">H893/G893</f>
        <v>787</v>
      </c>
      <c r="J893" s="15" t="s">
        <v>253</v>
      </c>
      <c r="K893" s="15" t="s">
        <v>254</v>
      </c>
    </row>
    <row r="894" customFormat="false" ht="18.75" hidden="false" customHeight="true" outlineLevel="0" collapsed="false">
      <c r="A894" s="10" t="s">
        <v>1664</v>
      </c>
      <c r="B894" s="10" t="s">
        <v>768</v>
      </c>
      <c r="C894" s="10" t="s">
        <v>226</v>
      </c>
      <c r="D894" s="10" t="s">
        <v>36</v>
      </c>
      <c r="E894" s="10" t="s">
        <v>284</v>
      </c>
      <c r="F894" s="11" t="n">
        <v>232</v>
      </c>
      <c r="G894" s="11" t="n">
        <v>1</v>
      </c>
      <c r="H894" s="26" t="n">
        <v>780.4</v>
      </c>
      <c r="I894" s="26" t="n">
        <f aca="false">H894/G894</f>
        <v>780.4</v>
      </c>
      <c r="J894" s="10" t="s">
        <v>253</v>
      </c>
      <c r="K894" s="10" t="s">
        <v>254</v>
      </c>
    </row>
    <row r="895" customFormat="false" ht="18.75" hidden="false" customHeight="true" outlineLevel="0" collapsed="false">
      <c r="A895" s="15" t="s">
        <v>1665</v>
      </c>
      <c r="B895" s="15" t="s">
        <v>318</v>
      </c>
      <c r="C895" s="15" t="s">
        <v>146</v>
      </c>
      <c r="D895" s="15" t="s">
        <v>34</v>
      </c>
      <c r="E895" s="15" t="s">
        <v>284</v>
      </c>
      <c r="F895" s="16" t="n">
        <v>181</v>
      </c>
      <c r="G895" s="16" t="n">
        <v>3</v>
      </c>
      <c r="H895" s="29" t="n">
        <v>778.25</v>
      </c>
      <c r="I895" s="29" t="n">
        <f aca="false">H895/G895</f>
        <v>259.416666666667</v>
      </c>
      <c r="J895" s="15" t="s">
        <v>253</v>
      </c>
      <c r="K895" s="15" t="s">
        <v>254</v>
      </c>
    </row>
    <row r="896" customFormat="false" ht="18.75" hidden="false" customHeight="true" outlineLevel="0" collapsed="false">
      <c r="A896" s="10" t="s">
        <v>1666</v>
      </c>
      <c r="B896" s="10" t="s">
        <v>835</v>
      </c>
      <c r="C896" s="10" t="s">
        <v>146</v>
      </c>
      <c r="D896" s="10" t="s">
        <v>34</v>
      </c>
      <c r="E896" s="10" t="s">
        <v>284</v>
      </c>
      <c r="F896" s="11" t="n">
        <v>31</v>
      </c>
      <c r="G896" s="11" t="n">
        <v>4</v>
      </c>
      <c r="H896" s="26" t="n">
        <v>777.73</v>
      </c>
      <c r="I896" s="26" t="n">
        <f aca="false">H896/G896</f>
        <v>194.4325</v>
      </c>
      <c r="J896" s="10" t="s">
        <v>280</v>
      </c>
      <c r="K896" s="10" t="s">
        <v>281</v>
      </c>
    </row>
    <row r="897" customFormat="false" ht="18.75" hidden="false" customHeight="true" outlineLevel="0" collapsed="false">
      <c r="A897" s="15" t="s">
        <v>1667</v>
      </c>
      <c r="B897" s="15" t="s">
        <v>1668</v>
      </c>
      <c r="C897" s="15" t="s">
        <v>163</v>
      </c>
      <c r="D897" s="15" t="s">
        <v>36</v>
      </c>
      <c r="E897" s="15" t="s">
        <v>284</v>
      </c>
      <c r="F897" s="16" t="n">
        <v>96</v>
      </c>
      <c r="G897" s="16" t="n">
        <v>1</v>
      </c>
      <c r="H897" s="29" t="n">
        <v>774.95</v>
      </c>
      <c r="I897" s="29" t="n">
        <f aca="false">H897/G897</f>
        <v>774.95</v>
      </c>
      <c r="J897" s="15" t="s">
        <v>253</v>
      </c>
      <c r="K897" s="15" t="s">
        <v>254</v>
      </c>
    </row>
    <row r="898" customFormat="false" ht="18.75" hidden="false" customHeight="true" outlineLevel="0" collapsed="false">
      <c r="A898" s="10" t="s">
        <v>1669</v>
      </c>
      <c r="B898" s="10" t="s">
        <v>523</v>
      </c>
      <c r="C898" s="10" t="s">
        <v>219</v>
      </c>
      <c r="D898" s="10" t="s">
        <v>35</v>
      </c>
      <c r="E898" s="10" t="s">
        <v>284</v>
      </c>
      <c r="F898" s="11" t="n">
        <v>75</v>
      </c>
      <c r="G898" s="11" t="n">
        <v>2</v>
      </c>
      <c r="H898" s="26" t="n">
        <v>769.35</v>
      </c>
      <c r="I898" s="26" t="n">
        <f aca="false">H898/G898</f>
        <v>384.675</v>
      </c>
      <c r="J898" s="10" t="s">
        <v>253</v>
      </c>
      <c r="K898" s="10" t="s">
        <v>254</v>
      </c>
    </row>
    <row r="899" customFormat="false" ht="18.75" hidden="false" customHeight="true" outlineLevel="0" collapsed="false">
      <c r="A899" s="15" t="s">
        <v>1670</v>
      </c>
      <c r="B899" s="15" t="s">
        <v>1671</v>
      </c>
      <c r="C899" s="15" t="s">
        <v>155</v>
      </c>
      <c r="D899" s="15" t="s">
        <v>34</v>
      </c>
      <c r="E899" s="15" t="s">
        <v>284</v>
      </c>
      <c r="F899" s="16" t="n">
        <v>92</v>
      </c>
      <c r="G899" s="16" t="n">
        <v>3</v>
      </c>
      <c r="H899" s="29" t="n">
        <v>767.52</v>
      </c>
      <c r="I899" s="29" t="n">
        <f aca="false">H899/G899</f>
        <v>255.84</v>
      </c>
      <c r="J899" s="15" t="s">
        <v>253</v>
      </c>
      <c r="K899" s="15" t="s">
        <v>254</v>
      </c>
    </row>
    <row r="900" customFormat="false" ht="18.75" hidden="false" customHeight="true" outlineLevel="0" collapsed="false">
      <c r="A900" s="10" t="s">
        <v>1672</v>
      </c>
      <c r="B900" s="10" t="s">
        <v>1673</v>
      </c>
      <c r="C900" s="10" t="s">
        <v>219</v>
      </c>
      <c r="D900" s="10" t="s">
        <v>35</v>
      </c>
      <c r="E900" s="10" t="s">
        <v>284</v>
      </c>
      <c r="F900" s="11" t="n">
        <v>145</v>
      </c>
      <c r="G900" s="11" t="n">
        <v>2</v>
      </c>
      <c r="H900" s="26" t="n">
        <v>760</v>
      </c>
      <c r="I900" s="26" t="n">
        <f aca="false">H900/G900</f>
        <v>380</v>
      </c>
      <c r="J900" s="10" t="s">
        <v>253</v>
      </c>
      <c r="K900" s="10" t="s">
        <v>254</v>
      </c>
    </row>
    <row r="901" customFormat="false" ht="18.75" hidden="false" customHeight="true" outlineLevel="0" collapsed="false">
      <c r="A901" s="15" t="s">
        <v>1674</v>
      </c>
      <c r="B901" s="15" t="s">
        <v>1675</v>
      </c>
      <c r="C901" s="15" t="s">
        <v>155</v>
      </c>
      <c r="D901" s="15" t="s">
        <v>34</v>
      </c>
      <c r="E901" s="15" t="s">
        <v>284</v>
      </c>
      <c r="F901" s="16" t="n">
        <v>123</v>
      </c>
      <c r="G901" s="16" t="n">
        <v>3</v>
      </c>
      <c r="H901" s="29" t="n">
        <v>750.5</v>
      </c>
      <c r="I901" s="29" t="n">
        <f aca="false">H901/G901</f>
        <v>250.166666666667</v>
      </c>
      <c r="J901" s="15" t="s">
        <v>253</v>
      </c>
      <c r="K901" s="15" t="s">
        <v>254</v>
      </c>
    </row>
    <row r="902" customFormat="false" ht="18.75" hidden="false" customHeight="true" outlineLevel="0" collapsed="false">
      <c r="A902" s="10" t="s">
        <v>1676</v>
      </c>
      <c r="B902" s="10" t="s">
        <v>178</v>
      </c>
      <c r="C902" s="10" t="s">
        <v>163</v>
      </c>
      <c r="D902" s="10" t="s">
        <v>36</v>
      </c>
      <c r="E902" s="10" t="s">
        <v>284</v>
      </c>
      <c r="F902" s="11" t="n">
        <v>3</v>
      </c>
      <c r="G902" s="11" t="n">
        <v>1</v>
      </c>
      <c r="H902" s="26" t="n">
        <v>748.8</v>
      </c>
      <c r="I902" s="26" t="n">
        <f aca="false">H902/G902</f>
        <v>748.8</v>
      </c>
      <c r="J902" s="10" t="s">
        <v>280</v>
      </c>
      <c r="K902" s="10" t="s">
        <v>281</v>
      </c>
    </row>
    <row r="903" customFormat="false" ht="18.75" hidden="false" customHeight="true" outlineLevel="0" collapsed="false">
      <c r="A903" s="15" t="s">
        <v>1677</v>
      </c>
      <c r="B903" s="15" t="s">
        <v>1678</v>
      </c>
      <c r="C903" s="15" t="s">
        <v>219</v>
      </c>
      <c r="D903" s="15" t="s">
        <v>35</v>
      </c>
      <c r="E903" s="15" t="s">
        <v>284</v>
      </c>
      <c r="F903" s="16" t="n">
        <v>104</v>
      </c>
      <c r="G903" s="16" t="n">
        <v>4</v>
      </c>
      <c r="H903" s="29" t="n">
        <v>745.88</v>
      </c>
      <c r="I903" s="29" t="n">
        <f aca="false">H903/G903</f>
        <v>186.47</v>
      </c>
      <c r="J903" s="15" t="s">
        <v>253</v>
      </c>
      <c r="K903" s="15" t="s">
        <v>254</v>
      </c>
    </row>
    <row r="904" customFormat="false" ht="18.75" hidden="false" customHeight="true" outlineLevel="0" collapsed="false">
      <c r="A904" s="10" t="s">
        <v>1679</v>
      </c>
      <c r="B904" s="10" t="s">
        <v>1680</v>
      </c>
      <c r="C904" s="10" t="s">
        <v>155</v>
      </c>
      <c r="D904" s="10" t="s">
        <v>34</v>
      </c>
      <c r="E904" s="10" t="s">
        <v>284</v>
      </c>
      <c r="F904" s="11" t="n">
        <v>361</v>
      </c>
      <c r="G904" s="11" t="n">
        <v>1</v>
      </c>
      <c r="H904" s="26" t="n">
        <v>744.32</v>
      </c>
      <c r="I904" s="26" t="n">
        <f aca="false">H904/G904</f>
        <v>744.32</v>
      </c>
      <c r="J904" s="10" t="s">
        <v>253</v>
      </c>
      <c r="K904" s="10" t="s">
        <v>254</v>
      </c>
    </row>
    <row r="905" customFormat="false" ht="18.75" hidden="false" customHeight="true" outlineLevel="0" collapsed="false">
      <c r="A905" s="15" t="s">
        <v>1681</v>
      </c>
      <c r="B905" s="15" t="s">
        <v>1682</v>
      </c>
      <c r="C905" s="15" t="s">
        <v>219</v>
      </c>
      <c r="D905" s="15" t="s">
        <v>35</v>
      </c>
      <c r="E905" s="15" t="s">
        <v>284</v>
      </c>
      <c r="F905" s="16" t="n">
        <v>141</v>
      </c>
      <c r="G905" s="16" t="n">
        <v>2</v>
      </c>
      <c r="H905" s="29" t="n">
        <v>734.8</v>
      </c>
      <c r="I905" s="29" t="n">
        <f aca="false">H905/G905</f>
        <v>367.4</v>
      </c>
      <c r="J905" s="15" t="s">
        <v>253</v>
      </c>
      <c r="K905" s="15" t="s">
        <v>254</v>
      </c>
    </row>
    <row r="906" customFormat="false" ht="18.75" hidden="false" customHeight="true" outlineLevel="0" collapsed="false">
      <c r="A906" s="10" t="s">
        <v>1683</v>
      </c>
      <c r="B906" s="10" t="s">
        <v>1416</v>
      </c>
      <c r="C906" s="10" t="s">
        <v>207</v>
      </c>
      <c r="D906" s="10" t="s">
        <v>35</v>
      </c>
      <c r="E906" s="10" t="s">
        <v>284</v>
      </c>
      <c r="F906" s="11" t="n">
        <v>4</v>
      </c>
      <c r="G906" s="11" t="n">
        <v>4</v>
      </c>
      <c r="H906" s="26" t="n">
        <v>732.1</v>
      </c>
      <c r="I906" s="26" t="n">
        <f aca="false">H906/G906</f>
        <v>183.025</v>
      </c>
      <c r="J906" s="10" t="s">
        <v>280</v>
      </c>
      <c r="K906" s="10" t="s">
        <v>281</v>
      </c>
    </row>
    <row r="907" customFormat="false" ht="18.75" hidden="false" customHeight="true" outlineLevel="0" collapsed="false">
      <c r="A907" s="15" t="s">
        <v>1684</v>
      </c>
      <c r="B907" s="15" t="s">
        <v>1685</v>
      </c>
      <c r="C907" s="15" t="s">
        <v>160</v>
      </c>
      <c r="D907" s="15" t="s">
        <v>36</v>
      </c>
      <c r="E907" s="15" t="s">
        <v>284</v>
      </c>
      <c r="F907" s="16" t="n">
        <v>25</v>
      </c>
      <c r="G907" s="16" t="n">
        <v>3</v>
      </c>
      <c r="H907" s="29" t="n">
        <v>727.38</v>
      </c>
      <c r="I907" s="29" t="n">
        <f aca="false">H907/G907</f>
        <v>242.46</v>
      </c>
      <c r="J907" s="15" t="s">
        <v>280</v>
      </c>
      <c r="K907" s="15" t="s">
        <v>281</v>
      </c>
    </row>
    <row r="908" customFormat="false" ht="18.75" hidden="false" customHeight="true" outlineLevel="0" collapsed="false">
      <c r="A908" s="10" t="s">
        <v>1686</v>
      </c>
      <c r="B908" s="10" t="s">
        <v>1687</v>
      </c>
      <c r="C908" s="10" t="s">
        <v>163</v>
      </c>
      <c r="D908" s="10" t="s">
        <v>36</v>
      </c>
      <c r="E908" s="10" t="s">
        <v>284</v>
      </c>
      <c r="F908" s="11" t="n">
        <v>63</v>
      </c>
      <c r="G908" s="11" t="n">
        <v>2</v>
      </c>
      <c r="H908" s="26" t="n">
        <v>717.63</v>
      </c>
      <c r="I908" s="26" t="n">
        <f aca="false">H908/G908</f>
        <v>358.815</v>
      </c>
      <c r="J908" s="10" t="s">
        <v>253</v>
      </c>
      <c r="K908" s="10" t="s">
        <v>254</v>
      </c>
    </row>
    <row r="909" customFormat="false" ht="18.75" hidden="false" customHeight="true" outlineLevel="0" collapsed="false">
      <c r="A909" s="15" t="s">
        <v>1688</v>
      </c>
      <c r="B909" s="15" t="s">
        <v>1689</v>
      </c>
      <c r="C909" s="15" t="s">
        <v>163</v>
      </c>
      <c r="D909" s="15" t="s">
        <v>36</v>
      </c>
      <c r="E909" s="15" t="s">
        <v>284</v>
      </c>
      <c r="F909" s="16" t="n">
        <v>64</v>
      </c>
      <c r="G909" s="16" t="n">
        <v>1</v>
      </c>
      <c r="H909" s="29" t="n">
        <v>715.8</v>
      </c>
      <c r="I909" s="29" t="n">
        <f aca="false">H909/G909</f>
        <v>715.8</v>
      </c>
      <c r="J909" s="15" t="s">
        <v>253</v>
      </c>
      <c r="K909" s="15" t="s">
        <v>254</v>
      </c>
    </row>
    <row r="910" customFormat="false" ht="18.75" hidden="false" customHeight="true" outlineLevel="0" collapsed="false">
      <c r="A910" s="10" t="s">
        <v>1690</v>
      </c>
      <c r="B910" s="10" t="s">
        <v>1691</v>
      </c>
      <c r="C910" s="10" t="s">
        <v>181</v>
      </c>
      <c r="D910" s="10" t="s">
        <v>36</v>
      </c>
      <c r="E910" s="10" t="s">
        <v>284</v>
      </c>
      <c r="F910" s="11" t="n">
        <v>218</v>
      </c>
      <c r="G910" s="11" t="n">
        <v>1</v>
      </c>
      <c r="H910" s="26" t="n">
        <v>714.68</v>
      </c>
      <c r="I910" s="26" t="n">
        <f aca="false">H910/G910</f>
        <v>714.68</v>
      </c>
      <c r="J910" s="10" t="s">
        <v>253</v>
      </c>
      <c r="K910" s="10" t="s">
        <v>254</v>
      </c>
    </row>
    <row r="911" customFormat="false" ht="18.75" hidden="false" customHeight="true" outlineLevel="0" collapsed="false">
      <c r="A911" s="15" t="s">
        <v>1692</v>
      </c>
      <c r="B911" s="15" t="s">
        <v>1693</v>
      </c>
      <c r="C911" s="15" t="s">
        <v>207</v>
      </c>
      <c r="D911" s="15" t="s">
        <v>35</v>
      </c>
      <c r="E911" s="15" t="s">
        <v>284</v>
      </c>
      <c r="F911" s="16" t="n">
        <v>159</v>
      </c>
      <c r="G911" s="16" t="n">
        <v>1</v>
      </c>
      <c r="H911" s="29" t="n">
        <v>706.5</v>
      </c>
      <c r="I911" s="29" t="n">
        <f aca="false">H911/G911</f>
        <v>706.5</v>
      </c>
      <c r="J911" s="15" t="s">
        <v>253</v>
      </c>
      <c r="K911" s="15" t="s">
        <v>254</v>
      </c>
    </row>
    <row r="912" customFormat="false" ht="18.75" hidden="false" customHeight="true" outlineLevel="0" collapsed="false">
      <c r="A912" s="10" t="s">
        <v>1694</v>
      </c>
      <c r="B912" s="10" t="s">
        <v>1254</v>
      </c>
      <c r="C912" s="10" t="s">
        <v>149</v>
      </c>
      <c r="D912" s="10" t="s">
        <v>35</v>
      </c>
      <c r="E912" s="10" t="s">
        <v>284</v>
      </c>
      <c r="F912" s="11" t="n">
        <v>127</v>
      </c>
      <c r="G912" s="11" t="n">
        <v>2</v>
      </c>
      <c r="H912" s="26" t="n">
        <v>704.82</v>
      </c>
      <c r="I912" s="26" t="n">
        <f aca="false">H912/G912</f>
        <v>352.41</v>
      </c>
      <c r="J912" s="10" t="s">
        <v>253</v>
      </c>
      <c r="K912" s="10" t="s">
        <v>254</v>
      </c>
    </row>
    <row r="913" customFormat="false" ht="18.75" hidden="false" customHeight="true" outlineLevel="0" collapsed="false">
      <c r="A913" s="15" t="s">
        <v>1695</v>
      </c>
      <c r="B913" s="15" t="s">
        <v>1696</v>
      </c>
      <c r="C913" s="15" t="s">
        <v>152</v>
      </c>
      <c r="D913" s="15" t="s">
        <v>35</v>
      </c>
      <c r="E913" s="15" t="s">
        <v>284</v>
      </c>
      <c r="F913" s="16" t="n">
        <v>43</v>
      </c>
      <c r="G913" s="16" t="n">
        <v>3</v>
      </c>
      <c r="H913" s="29" t="n">
        <v>702.54</v>
      </c>
      <c r="I913" s="29" t="n">
        <f aca="false">H913/G913</f>
        <v>234.18</v>
      </c>
      <c r="J913" s="15" t="s">
        <v>280</v>
      </c>
      <c r="K913" s="15" t="s">
        <v>281</v>
      </c>
    </row>
    <row r="914" customFormat="false" ht="18.75" hidden="false" customHeight="true" outlineLevel="0" collapsed="false">
      <c r="A914" s="10" t="s">
        <v>1697</v>
      </c>
      <c r="B914" s="10" t="s">
        <v>1698</v>
      </c>
      <c r="C914" s="10" t="s">
        <v>199</v>
      </c>
      <c r="D914" s="10" t="s">
        <v>36</v>
      </c>
      <c r="E914" s="10" t="s">
        <v>284</v>
      </c>
      <c r="F914" s="11" t="n">
        <v>105</v>
      </c>
      <c r="G914" s="11" t="n">
        <v>2</v>
      </c>
      <c r="H914" s="26" t="n">
        <v>689.9</v>
      </c>
      <c r="I914" s="26" t="n">
        <f aca="false">H914/G914</f>
        <v>344.95</v>
      </c>
      <c r="J914" s="10" t="s">
        <v>253</v>
      </c>
      <c r="K914" s="10" t="s">
        <v>254</v>
      </c>
    </row>
    <row r="915" customFormat="false" ht="18.75" hidden="false" customHeight="true" outlineLevel="0" collapsed="false">
      <c r="A915" s="15" t="s">
        <v>1699</v>
      </c>
      <c r="B915" s="15" t="s">
        <v>1700</v>
      </c>
      <c r="C915" s="15" t="s">
        <v>216</v>
      </c>
      <c r="D915" s="15" t="s">
        <v>34</v>
      </c>
      <c r="E915" s="15" t="s">
        <v>284</v>
      </c>
      <c r="F915" s="16" t="n">
        <v>27</v>
      </c>
      <c r="G915" s="16" t="n">
        <v>1</v>
      </c>
      <c r="H915" s="29" t="n">
        <v>682.8</v>
      </c>
      <c r="I915" s="29" t="n">
        <f aca="false">H915/G915</f>
        <v>682.8</v>
      </c>
      <c r="J915" s="15" t="s">
        <v>280</v>
      </c>
      <c r="K915" s="15" t="s">
        <v>281</v>
      </c>
    </row>
    <row r="916" customFormat="false" ht="18.75" hidden="false" customHeight="true" outlineLevel="0" collapsed="false">
      <c r="A916" s="10" t="s">
        <v>1701</v>
      </c>
      <c r="B916" s="10" t="s">
        <v>1702</v>
      </c>
      <c r="C916" s="10" t="s">
        <v>207</v>
      </c>
      <c r="D916" s="10" t="s">
        <v>35</v>
      </c>
      <c r="E916" s="10" t="s">
        <v>284</v>
      </c>
      <c r="F916" s="11" t="n">
        <v>64</v>
      </c>
      <c r="G916" s="11" t="n">
        <v>2</v>
      </c>
      <c r="H916" s="26" t="n">
        <v>672.7</v>
      </c>
      <c r="I916" s="26" t="n">
        <f aca="false">H916/G916</f>
        <v>336.35</v>
      </c>
      <c r="J916" s="10" t="s">
        <v>253</v>
      </c>
      <c r="K916" s="10" t="s">
        <v>254</v>
      </c>
    </row>
    <row r="917" customFormat="false" ht="18.75" hidden="false" customHeight="true" outlineLevel="0" collapsed="false">
      <c r="A917" s="15" t="s">
        <v>1703</v>
      </c>
      <c r="B917" s="15" t="s">
        <v>1704</v>
      </c>
      <c r="C917" s="15" t="s">
        <v>219</v>
      </c>
      <c r="D917" s="15" t="s">
        <v>35</v>
      </c>
      <c r="E917" s="15" t="s">
        <v>284</v>
      </c>
      <c r="F917" s="16" t="n">
        <v>14</v>
      </c>
      <c r="G917" s="16" t="n">
        <v>1</v>
      </c>
      <c r="H917" s="29" t="n">
        <v>664.4</v>
      </c>
      <c r="I917" s="29" t="n">
        <f aca="false">H917/G917</f>
        <v>664.4</v>
      </c>
      <c r="J917" s="15" t="s">
        <v>280</v>
      </c>
      <c r="K917" s="15" t="s">
        <v>281</v>
      </c>
    </row>
    <row r="918" customFormat="false" ht="18.75" hidden="false" customHeight="true" outlineLevel="0" collapsed="false">
      <c r="A918" s="10" t="s">
        <v>1705</v>
      </c>
      <c r="B918" s="10" t="s">
        <v>1237</v>
      </c>
      <c r="C918" s="10" t="s">
        <v>219</v>
      </c>
      <c r="D918" s="10" t="s">
        <v>35</v>
      </c>
      <c r="E918" s="10" t="s">
        <v>284</v>
      </c>
      <c r="F918" s="11" t="n">
        <v>242</v>
      </c>
      <c r="G918" s="11" t="n">
        <v>1</v>
      </c>
      <c r="H918" s="26" t="n">
        <v>660.71</v>
      </c>
      <c r="I918" s="26" t="n">
        <f aca="false">H918/G918</f>
        <v>660.71</v>
      </c>
      <c r="J918" s="10" t="s">
        <v>253</v>
      </c>
      <c r="K918" s="10" t="s">
        <v>254</v>
      </c>
    </row>
    <row r="919" customFormat="false" ht="18.75" hidden="false" customHeight="true" outlineLevel="0" collapsed="false">
      <c r="A919" s="15" t="s">
        <v>1706</v>
      </c>
      <c r="B919" s="15" t="s">
        <v>772</v>
      </c>
      <c r="C919" s="15" t="s">
        <v>216</v>
      </c>
      <c r="D919" s="15" t="s">
        <v>34</v>
      </c>
      <c r="E919" s="15" t="s">
        <v>284</v>
      </c>
      <c r="F919" s="16" t="n">
        <v>153</v>
      </c>
      <c r="G919" s="16" t="n">
        <v>2</v>
      </c>
      <c r="H919" s="29" t="n">
        <v>656.95</v>
      </c>
      <c r="I919" s="29" t="n">
        <f aca="false">H919/G919</f>
        <v>328.475</v>
      </c>
      <c r="J919" s="15" t="s">
        <v>253</v>
      </c>
      <c r="K919" s="15" t="s">
        <v>254</v>
      </c>
    </row>
    <row r="920" customFormat="false" ht="18.75" hidden="false" customHeight="true" outlineLevel="0" collapsed="false">
      <c r="A920" s="10" t="s">
        <v>1707</v>
      </c>
      <c r="B920" s="10" t="s">
        <v>1708</v>
      </c>
      <c r="C920" s="10" t="s">
        <v>152</v>
      </c>
      <c r="D920" s="10" t="s">
        <v>35</v>
      </c>
      <c r="E920" s="10" t="s">
        <v>284</v>
      </c>
      <c r="F920" s="11" t="n">
        <v>191</v>
      </c>
      <c r="G920" s="11" t="n">
        <v>1</v>
      </c>
      <c r="H920" s="26" t="n">
        <v>641.5</v>
      </c>
      <c r="I920" s="26" t="n">
        <f aca="false">H920/G920</f>
        <v>641.5</v>
      </c>
      <c r="J920" s="10" t="s">
        <v>253</v>
      </c>
      <c r="K920" s="10" t="s">
        <v>254</v>
      </c>
    </row>
    <row r="921" customFormat="false" ht="18.75" hidden="false" customHeight="true" outlineLevel="0" collapsed="false">
      <c r="A921" s="15" t="s">
        <v>1709</v>
      </c>
      <c r="B921" s="15" t="s">
        <v>1079</v>
      </c>
      <c r="C921" s="15" t="s">
        <v>146</v>
      </c>
      <c r="D921" s="15" t="s">
        <v>34</v>
      </c>
      <c r="E921" s="15" t="s">
        <v>284</v>
      </c>
      <c r="F921" s="16" t="n">
        <v>111</v>
      </c>
      <c r="G921" s="16" t="n">
        <v>2</v>
      </c>
      <c r="H921" s="29" t="n">
        <v>641.5</v>
      </c>
      <c r="I921" s="29" t="n">
        <f aca="false">H921/G921</f>
        <v>320.75</v>
      </c>
      <c r="J921" s="15" t="s">
        <v>253</v>
      </c>
      <c r="K921" s="15" t="s">
        <v>254</v>
      </c>
    </row>
    <row r="922" customFormat="false" ht="18.75" hidden="false" customHeight="true" outlineLevel="0" collapsed="false">
      <c r="A922" s="10" t="s">
        <v>1710</v>
      </c>
      <c r="B922" s="10" t="s">
        <v>1430</v>
      </c>
      <c r="C922" s="10" t="s">
        <v>199</v>
      </c>
      <c r="D922" s="10" t="s">
        <v>36</v>
      </c>
      <c r="E922" s="10" t="s">
        <v>284</v>
      </c>
      <c r="F922" s="11" t="n">
        <v>78</v>
      </c>
      <c r="G922" s="11" t="n">
        <v>3</v>
      </c>
      <c r="H922" s="26" t="n">
        <v>631.69</v>
      </c>
      <c r="I922" s="26" t="n">
        <f aca="false">H922/G922</f>
        <v>210.563333333333</v>
      </c>
      <c r="J922" s="10" t="s">
        <v>253</v>
      </c>
      <c r="K922" s="10" t="s">
        <v>254</v>
      </c>
    </row>
    <row r="923" customFormat="false" ht="18.75" hidden="false" customHeight="true" outlineLevel="0" collapsed="false">
      <c r="A923" s="15" t="s">
        <v>1711</v>
      </c>
      <c r="B923" s="15" t="s">
        <v>1136</v>
      </c>
      <c r="C923" s="15" t="s">
        <v>181</v>
      </c>
      <c r="D923" s="15" t="s">
        <v>36</v>
      </c>
      <c r="E923" s="15" t="s">
        <v>284</v>
      </c>
      <c r="F923" s="16" t="n">
        <v>220</v>
      </c>
      <c r="G923" s="16" t="n">
        <v>2</v>
      </c>
      <c r="H923" s="29" t="n">
        <v>629.68</v>
      </c>
      <c r="I923" s="29" t="n">
        <f aca="false">H923/G923</f>
        <v>314.84</v>
      </c>
      <c r="J923" s="15" t="s">
        <v>253</v>
      </c>
      <c r="K923" s="15" t="s">
        <v>254</v>
      </c>
    </row>
    <row r="924" customFormat="false" ht="18.75" hidden="false" customHeight="true" outlineLevel="0" collapsed="false">
      <c r="A924" s="10" t="s">
        <v>1712</v>
      </c>
      <c r="B924" s="10" t="s">
        <v>1494</v>
      </c>
      <c r="C924" s="10" t="s">
        <v>160</v>
      </c>
      <c r="D924" s="10" t="s">
        <v>36</v>
      </c>
      <c r="E924" s="10" t="s">
        <v>284</v>
      </c>
      <c r="F924" s="11" t="n">
        <v>2</v>
      </c>
      <c r="G924" s="11" t="n">
        <v>3</v>
      </c>
      <c r="H924" s="26" t="n">
        <v>621.48</v>
      </c>
      <c r="I924" s="26" t="n">
        <f aca="false">H924/G924</f>
        <v>207.16</v>
      </c>
      <c r="J924" s="10" t="s">
        <v>280</v>
      </c>
      <c r="K924" s="10" t="s">
        <v>281</v>
      </c>
    </row>
    <row r="925" customFormat="false" ht="18.75" hidden="false" customHeight="true" outlineLevel="0" collapsed="false">
      <c r="A925" s="15" t="s">
        <v>1713</v>
      </c>
      <c r="B925" s="15" t="s">
        <v>1714</v>
      </c>
      <c r="C925" s="15" t="s">
        <v>226</v>
      </c>
      <c r="D925" s="15" t="s">
        <v>36</v>
      </c>
      <c r="E925" s="15" t="s">
        <v>284</v>
      </c>
      <c r="F925" s="16" t="n">
        <v>20</v>
      </c>
      <c r="G925" s="16" t="n">
        <v>1</v>
      </c>
      <c r="H925" s="29" t="n">
        <v>619.9</v>
      </c>
      <c r="I925" s="29" t="n">
        <f aca="false">H925/G925</f>
        <v>619.9</v>
      </c>
      <c r="J925" s="15" t="s">
        <v>280</v>
      </c>
      <c r="K925" s="15" t="s">
        <v>281</v>
      </c>
    </row>
    <row r="926" customFormat="false" ht="18.75" hidden="false" customHeight="true" outlineLevel="0" collapsed="false">
      <c r="A926" s="10" t="s">
        <v>1715</v>
      </c>
      <c r="B926" s="10" t="s">
        <v>1470</v>
      </c>
      <c r="C926" s="10" t="s">
        <v>140</v>
      </c>
      <c r="D926" s="10" t="s">
        <v>35</v>
      </c>
      <c r="E926" s="10" t="s">
        <v>284</v>
      </c>
      <c r="F926" s="11" t="n">
        <v>74</v>
      </c>
      <c r="G926" s="11" t="n">
        <v>2</v>
      </c>
      <c r="H926" s="26" t="n">
        <v>617.6</v>
      </c>
      <c r="I926" s="26" t="n">
        <f aca="false">H926/G926</f>
        <v>308.8</v>
      </c>
      <c r="J926" s="10" t="s">
        <v>253</v>
      </c>
      <c r="K926" s="10" t="s">
        <v>254</v>
      </c>
    </row>
    <row r="927" customFormat="false" ht="18.75" hidden="false" customHeight="true" outlineLevel="0" collapsed="false">
      <c r="A927" s="15" t="s">
        <v>1716</v>
      </c>
      <c r="B927" s="15" t="s">
        <v>1717</v>
      </c>
      <c r="C927" s="15" t="s">
        <v>163</v>
      </c>
      <c r="D927" s="15" t="s">
        <v>36</v>
      </c>
      <c r="E927" s="15" t="s">
        <v>284</v>
      </c>
      <c r="F927" s="16" t="n">
        <v>42</v>
      </c>
      <c r="G927" s="16" t="n">
        <v>3</v>
      </c>
      <c r="H927" s="29" t="n">
        <v>616.81</v>
      </c>
      <c r="I927" s="29" t="n">
        <f aca="false">H927/G927</f>
        <v>205.603333333333</v>
      </c>
      <c r="J927" s="15" t="s">
        <v>280</v>
      </c>
      <c r="K927" s="15" t="s">
        <v>281</v>
      </c>
    </row>
    <row r="928" customFormat="false" ht="18.75" hidden="false" customHeight="true" outlineLevel="0" collapsed="false">
      <c r="A928" s="10" t="s">
        <v>1718</v>
      </c>
      <c r="B928" s="10" t="s">
        <v>1719</v>
      </c>
      <c r="C928" s="10" t="s">
        <v>146</v>
      </c>
      <c r="D928" s="10" t="s">
        <v>34</v>
      </c>
      <c r="E928" s="10" t="s">
        <v>284</v>
      </c>
      <c r="F928" s="11" t="n">
        <v>215</v>
      </c>
      <c r="G928" s="11" t="n">
        <v>1</v>
      </c>
      <c r="H928" s="26" t="n">
        <v>616.8</v>
      </c>
      <c r="I928" s="26" t="n">
        <f aca="false">H928/G928</f>
        <v>616.8</v>
      </c>
      <c r="J928" s="10" t="s">
        <v>253</v>
      </c>
      <c r="K928" s="10" t="s">
        <v>254</v>
      </c>
    </row>
    <row r="929" customFormat="false" ht="18.75" hidden="false" customHeight="true" outlineLevel="0" collapsed="false">
      <c r="A929" s="15" t="s">
        <v>1720</v>
      </c>
      <c r="B929" s="15" t="s">
        <v>736</v>
      </c>
      <c r="C929" s="15" t="s">
        <v>163</v>
      </c>
      <c r="D929" s="15" t="s">
        <v>36</v>
      </c>
      <c r="E929" s="15" t="s">
        <v>284</v>
      </c>
      <c r="F929" s="16" t="n">
        <v>45</v>
      </c>
      <c r="G929" s="16" t="n">
        <v>2</v>
      </c>
      <c r="H929" s="29" t="n">
        <v>615.42</v>
      </c>
      <c r="I929" s="29" t="n">
        <f aca="false">H929/G929</f>
        <v>307.71</v>
      </c>
      <c r="J929" s="15" t="s">
        <v>280</v>
      </c>
      <c r="K929" s="15" t="s">
        <v>281</v>
      </c>
    </row>
    <row r="930" customFormat="false" ht="18.75" hidden="false" customHeight="true" outlineLevel="0" collapsed="false">
      <c r="A930" s="10" t="s">
        <v>1721</v>
      </c>
      <c r="B930" s="10" t="s">
        <v>1210</v>
      </c>
      <c r="C930" s="10" t="s">
        <v>181</v>
      </c>
      <c r="D930" s="10" t="s">
        <v>36</v>
      </c>
      <c r="E930" s="10" t="s">
        <v>284</v>
      </c>
      <c r="F930" s="11" t="n">
        <v>33</v>
      </c>
      <c r="G930" s="11" t="n">
        <v>2</v>
      </c>
      <c r="H930" s="26" t="n">
        <v>613.15</v>
      </c>
      <c r="I930" s="26" t="n">
        <f aca="false">H930/G930</f>
        <v>306.575</v>
      </c>
      <c r="J930" s="10" t="s">
        <v>280</v>
      </c>
      <c r="K930" s="10" t="s">
        <v>281</v>
      </c>
    </row>
    <row r="931" customFormat="false" ht="18.75" hidden="false" customHeight="true" outlineLevel="0" collapsed="false">
      <c r="A931" s="15" t="s">
        <v>1722</v>
      </c>
      <c r="B931" s="15" t="s">
        <v>362</v>
      </c>
      <c r="C931" s="15" t="s">
        <v>181</v>
      </c>
      <c r="D931" s="15" t="s">
        <v>36</v>
      </c>
      <c r="E931" s="15" t="s">
        <v>284</v>
      </c>
      <c r="F931" s="16" t="n">
        <v>25</v>
      </c>
      <c r="G931" s="16" t="n">
        <v>3</v>
      </c>
      <c r="H931" s="29" t="n">
        <v>608.77</v>
      </c>
      <c r="I931" s="29" t="n">
        <f aca="false">H931/G931</f>
        <v>202.923333333333</v>
      </c>
      <c r="J931" s="15" t="s">
        <v>280</v>
      </c>
      <c r="K931" s="15" t="s">
        <v>281</v>
      </c>
    </row>
    <row r="932" customFormat="false" ht="18.75" hidden="false" customHeight="true" outlineLevel="0" collapsed="false">
      <c r="A932" s="10" t="s">
        <v>1723</v>
      </c>
      <c r="B932" s="10" t="s">
        <v>466</v>
      </c>
      <c r="C932" s="10" t="s">
        <v>226</v>
      </c>
      <c r="D932" s="10" t="s">
        <v>36</v>
      </c>
      <c r="E932" s="10" t="s">
        <v>284</v>
      </c>
      <c r="F932" s="11" t="n">
        <v>228</v>
      </c>
      <c r="G932" s="11" t="n">
        <v>3</v>
      </c>
      <c r="H932" s="26" t="n">
        <v>580.47</v>
      </c>
      <c r="I932" s="26" t="n">
        <f aca="false">H932/G932</f>
        <v>193.49</v>
      </c>
      <c r="J932" s="10" t="s">
        <v>253</v>
      </c>
      <c r="K932" s="10" t="s">
        <v>254</v>
      </c>
    </row>
    <row r="933" customFormat="false" ht="18.75" hidden="false" customHeight="true" outlineLevel="0" collapsed="false">
      <c r="A933" s="15" t="s">
        <v>1724</v>
      </c>
      <c r="B933" s="15" t="s">
        <v>1725</v>
      </c>
      <c r="C933" s="15" t="s">
        <v>155</v>
      </c>
      <c r="D933" s="15" t="s">
        <v>34</v>
      </c>
      <c r="E933" s="15" t="s">
        <v>384</v>
      </c>
      <c r="F933" s="16" t="n">
        <v>149</v>
      </c>
      <c r="G933" s="16" t="n">
        <v>2</v>
      </c>
      <c r="H933" s="29" t="n">
        <v>574.55</v>
      </c>
      <c r="I933" s="29" t="n">
        <f aca="false">H933/G933</f>
        <v>287.275</v>
      </c>
      <c r="J933" s="15" t="s">
        <v>253</v>
      </c>
      <c r="K933" s="15" t="s">
        <v>254</v>
      </c>
    </row>
    <row r="934" customFormat="false" ht="18.75" hidden="false" customHeight="true" outlineLevel="0" collapsed="false">
      <c r="A934" s="10" t="s">
        <v>1726</v>
      </c>
      <c r="B934" s="10" t="s">
        <v>1077</v>
      </c>
      <c r="C934" s="10" t="s">
        <v>160</v>
      </c>
      <c r="D934" s="10" t="s">
        <v>36</v>
      </c>
      <c r="E934" s="10" t="s">
        <v>284</v>
      </c>
      <c r="F934" s="11" t="n">
        <v>270</v>
      </c>
      <c r="G934" s="11" t="n">
        <v>2</v>
      </c>
      <c r="H934" s="26" t="n">
        <v>569.4</v>
      </c>
      <c r="I934" s="26" t="n">
        <f aca="false">H934/G934</f>
        <v>284.7</v>
      </c>
      <c r="J934" s="10" t="s">
        <v>253</v>
      </c>
      <c r="K934" s="10" t="s">
        <v>254</v>
      </c>
    </row>
    <row r="935" customFormat="false" ht="18.75" hidden="false" customHeight="true" outlineLevel="0" collapsed="false">
      <c r="A935" s="15" t="s">
        <v>1727</v>
      </c>
      <c r="B935" s="15" t="s">
        <v>1728</v>
      </c>
      <c r="C935" s="15" t="s">
        <v>146</v>
      </c>
      <c r="D935" s="15" t="s">
        <v>34</v>
      </c>
      <c r="E935" s="15" t="s">
        <v>284</v>
      </c>
      <c r="F935" s="16" t="n">
        <v>92</v>
      </c>
      <c r="G935" s="16" t="n">
        <v>1</v>
      </c>
      <c r="H935" s="29" t="n">
        <v>560.5</v>
      </c>
      <c r="I935" s="29" t="n">
        <f aca="false">H935/G935</f>
        <v>560.5</v>
      </c>
      <c r="J935" s="15" t="s">
        <v>253</v>
      </c>
      <c r="K935" s="15" t="s">
        <v>254</v>
      </c>
    </row>
    <row r="936" customFormat="false" ht="18.75" hidden="false" customHeight="true" outlineLevel="0" collapsed="false">
      <c r="A936" s="10" t="s">
        <v>1729</v>
      </c>
      <c r="B936" s="10" t="s">
        <v>1730</v>
      </c>
      <c r="C936" s="10" t="s">
        <v>184</v>
      </c>
      <c r="D936" s="10" t="s">
        <v>34</v>
      </c>
      <c r="E936" s="10" t="s">
        <v>284</v>
      </c>
      <c r="F936" s="11" t="n">
        <v>40</v>
      </c>
      <c r="G936" s="11" t="n">
        <v>1</v>
      </c>
      <c r="H936" s="26" t="n">
        <v>553.5</v>
      </c>
      <c r="I936" s="26" t="n">
        <f aca="false">H936/G936</f>
        <v>553.5</v>
      </c>
      <c r="J936" s="10" t="s">
        <v>280</v>
      </c>
      <c r="K936" s="10" t="s">
        <v>281</v>
      </c>
    </row>
    <row r="937" customFormat="false" ht="18.75" hidden="false" customHeight="true" outlineLevel="0" collapsed="false">
      <c r="A937" s="15" t="s">
        <v>1731</v>
      </c>
      <c r="B937" s="15" t="s">
        <v>1732</v>
      </c>
      <c r="C937" s="15" t="s">
        <v>219</v>
      </c>
      <c r="D937" s="15" t="s">
        <v>35</v>
      </c>
      <c r="E937" s="15" t="s">
        <v>141</v>
      </c>
      <c r="F937" s="16" t="n">
        <v>206</v>
      </c>
      <c r="G937" s="16" t="n">
        <v>1</v>
      </c>
      <c r="H937" s="29" t="n">
        <v>552</v>
      </c>
      <c r="I937" s="29" t="n">
        <f aca="false">H937/G937</f>
        <v>552</v>
      </c>
      <c r="J937" s="15" t="s">
        <v>253</v>
      </c>
      <c r="K937" s="15" t="s">
        <v>254</v>
      </c>
    </row>
    <row r="938" customFormat="false" ht="18.75" hidden="false" customHeight="true" outlineLevel="0" collapsed="false">
      <c r="A938" s="10" t="s">
        <v>1733</v>
      </c>
      <c r="B938" s="10" t="s">
        <v>981</v>
      </c>
      <c r="C938" s="10" t="s">
        <v>146</v>
      </c>
      <c r="D938" s="10" t="s">
        <v>34</v>
      </c>
      <c r="E938" s="10" t="s">
        <v>284</v>
      </c>
      <c r="F938" s="11" t="n">
        <v>161</v>
      </c>
      <c r="G938" s="11" t="n">
        <v>1</v>
      </c>
      <c r="H938" s="26" t="n">
        <v>548.4</v>
      </c>
      <c r="I938" s="26" t="n">
        <f aca="false">H938/G938</f>
        <v>548.4</v>
      </c>
      <c r="J938" s="10" t="s">
        <v>253</v>
      </c>
      <c r="K938" s="10" t="s">
        <v>254</v>
      </c>
    </row>
    <row r="939" customFormat="false" ht="18.75" hidden="false" customHeight="true" outlineLevel="0" collapsed="false">
      <c r="A939" s="15" t="s">
        <v>1734</v>
      </c>
      <c r="B939" s="15" t="s">
        <v>1735</v>
      </c>
      <c r="C939" s="15" t="s">
        <v>181</v>
      </c>
      <c r="D939" s="15" t="s">
        <v>36</v>
      </c>
      <c r="E939" s="15" t="s">
        <v>284</v>
      </c>
      <c r="F939" s="16" t="n">
        <v>29</v>
      </c>
      <c r="G939" s="16" t="n">
        <v>4</v>
      </c>
      <c r="H939" s="29" t="n">
        <v>545.2</v>
      </c>
      <c r="I939" s="29" t="n">
        <f aca="false">H939/G939</f>
        <v>136.3</v>
      </c>
      <c r="J939" s="15" t="s">
        <v>280</v>
      </c>
      <c r="K939" s="15" t="s">
        <v>281</v>
      </c>
    </row>
    <row r="940" customFormat="false" ht="18.75" hidden="false" customHeight="true" outlineLevel="0" collapsed="false">
      <c r="A940" s="10" t="s">
        <v>1736</v>
      </c>
      <c r="B940" s="10" t="s">
        <v>1162</v>
      </c>
      <c r="C940" s="10" t="s">
        <v>207</v>
      </c>
      <c r="D940" s="10" t="s">
        <v>35</v>
      </c>
      <c r="E940" s="10" t="s">
        <v>284</v>
      </c>
      <c r="F940" s="11" t="n">
        <v>118</v>
      </c>
      <c r="G940" s="11" t="n">
        <v>3</v>
      </c>
      <c r="H940" s="26" t="n">
        <v>545</v>
      </c>
      <c r="I940" s="26" t="n">
        <f aca="false">H940/G940</f>
        <v>181.666666666667</v>
      </c>
      <c r="J940" s="10" t="s">
        <v>253</v>
      </c>
      <c r="K940" s="10" t="s">
        <v>254</v>
      </c>
    </row>
    <row r="941" customFormat="false" ht="18.75" hidden="false" customHeight="true" outlineLevel="0" collapsed="false">
      <c r="A941" s="15" t="s">
        <v>1737</v>
      </c>
      <c r="B941" s="15" t="s">
        <v>500</v>
      </c>
      <c r="C941" s="15" t="s">
        <v>207</v>
      </c>
      <c r="D941" s="15" t="s">
        <v>35</v>
      </c>
      <c r="E941" s="15" t="s">
        <v>284</v>
      </c>
      <c r="F941" s="16" t="n">
        <v>25</v>
      </c>
      <c r="G941" s="16" t="n">
        <v>2</v>
      </c>
      <c r="H941" s="29" t="n">
        <v>542.22</v>
      </c>
      <c r="I941" s="29" t="n">
        <f aca="false">H941/G941</f>
        <v>271.11</v>
      </c>
      <c r="J941" s="15" t="s">
        <v>280</v>
      </c>
      <c r="K941" s="15" t="s">
        <v>281</v>
      </c>
    </row>
    <row r="942" customFormat="false" ht="18.75" hidden="false" customHeight="true" outlineLevel="0" collapsed="false">
      <c r="A942" s="10" t="s">
        <v>1738</v>
      </c>
      <c r="B942" s="10" t="s">
        <v>1739</v>
      </c>
      <c r="C942" s="10" t="s">
        <v>155</v>
      </c>
      <c r="D942" s="10" t="s">
        <v>34</v>
      </c>
      <c r="E942" s="10" t="s">
        <v>284</v>
      </c>
      <c r="F942" s="11" t="n">
        <v>9</v>
      </c>
      <c r="G942" s="11" t="n">
        <v>1</v>
      </c>
      <c r="H942" s="26" t="n">
        <v>535</v>
      </c>
      <c r="I942" s="26" t="n">
        <f aca="false">H942/G942</f>
        <v>535</v>
      </c>
      <c r="J942" s="10" t="s">
        <v>280</v>
      </c>
      <c r="K942" s="10" t="s">
        <v>281</v>
      </c>
    </row>
    <row r="943" customFormat="false" ht="18.75" hidden="false" customHeight="true" outlineLevel="0" collapsed="false">
      <c r="A943" s="15" t="s">
        <v>1740</v>
      </c>
      <c r="B943" s="15" t="s">
        <v>236</v>
      </c>
      <c r="C943" s="15" t="s">
        <v>140</v>
      </c>
      <c r="D943" s="15" t="s">
        <v>35</v>
      </c>
      <c r="E943" s="15" t="s">
        <v>284</v>
      </c>
      <c r="F943" s="16" t="n">
        <v>282</v>
      </c>
      <c r="G943" s="16" t="n">
        <v>1</v>
      </c>
      <c r="H943" s="29" t="n">
        <v>531.2</v>
      </c>
      <c r="I943" s="29" t="n">
        <f aca="false">H943/G943</f>
        <v>531.2</v>
      </c>
      <c r="J943" s="15" t="s">
        <v>253</v>
      </c>
      <c r="K943" s="15" t="s">
        <v>254</v>
      </c>
    </row>
    <row r="944" customFormat="false" ht="18.75" hidden="false" customHeight="true" outlineLevel="0" collapsed="false">
      <c r="A944" s="10" t="s">
        <v>1741</v>
      </c>
      <c r="B944" s="10" t="s">
        <v>1742</v>
      </c>
      <c r="C944" s="10" t="s">
        <v>216</v>
      </c>
      <c r="D944" s="10" t="s">
        <v>34</v>
      </c>
      <c r="E944" s="10" t="s">
        <v>284</v>
      </c>
      <c r="F944" s="11" t="n">
        <v>184</v>
      </c>
      <c r="G944" s="11" t="n">
        <v>1</v>
      </c>
      <c r="H944" s="26" t="n">
        <v>530</v>
      </c>
      <c r="I944" s="26" t="n">
        <f aca="false">H944/G944</f>
        <v>530</v>
      </c>
      <c r="J944" s="10" t="s">
        <v>253</v>
      </c>
      <c r="K944" s="10" t="s">
        <v>254</v>
      </c>
    </row>
    <row r="945" customFormat="false" ht="18.75" hidden="false" customHeight="true" outlineLevel="0" collapsed="false">
      <c r="A945" s="15" t="s">
        <v>1743</v>
      </c>
      <c r="B945" s="15" t="s">
        <v>603</v>
      </c>
      <c r="C945" s="15" t="s">
        <v>216</v>
      </c>
      <c r="D945" s="15" t="s">
        <v>34</v>
      </c>
      <c r="E945" s="15" t="s">
        <v>284</v>
      </c>
      <c r="F945" s="16" t="n">
        <v>96</v>
      </c>
      <c r="G945" s="16" t="n">
        <v>2</v>
      </c>
      <c r="H945" s="29" t="n">
        <v>528.5</v>
      </c>
      <c r="I945" s="29" t="n">
        <f aca="false">H945/G945</f>
        <v>264.25</v>
      </c>
      <c r="J945" s="15" t="s">
        <v>253</v>
      </c>
      <c r="K945" s="15" t="s">
        <v>254</v>
      </c>
    </row>
    <row r="946" customFormat="false" ht="18.75" hidden="false" customHeight="true" outlineLevel="0" collapsed="false">
      <c r="A946" s="10" t="s">
        <v>1744</v>
      </c>
      <c r="B946" s="10" t="s">
        <v>288</v>
      </c>
      <c r="C946" s="10" t="s">
        <v>184</v>
      </c>
      <c r="D946" s="10" t="s">
        <v>34</v>
      </c>
      <c r="E946" s="10" t="s">
        <v>284</v>
      </c>
      <c r="F946" s="11" t="n">
        <v>187</v>
      </c>
      <c r="G946" s="11" t="n">
        <v>1</v>
      </c>
      <c r="H946" s="26" t="n">
        <v>527.76</v>
      </c>
      <c r="I946" s="26" t="n">
        <f aca="false">H946/G946</f>
        <v>527.76</v>
      </c>
      <c r="J946" s="10" t="s">
        <v>253</v>
      </c>
      <c r="K946" s="10" t="s">
        <v>254</v>
      </c>
    </row>
    <row r="947" customFormat="false" ht="18.75" hidden="false" customHeight="true" outlineLevel="0" collapsed="false">
      <c r="A947" s="15" t="s">
        <v>1745</v>
      </c>
      <c r="B947" s="15" t="s">
        <v>1746</v>
      </c>
      <c r="C947" s="15" t="s">
        <v>219</v>
      </c>
      <c r="D947" s="15" t="s">
        <v>35</v>
      </c>
      <c r="E947" s="15" t="s">
        <v>284</v>
      </c>
      <c r="F947" s="16" t="n">
        <v>252</v>
      </c>
      <c r="G947" s="16" t="n">
        <v>1</v>
      </c>
      <c r="H947" s="29" t="n">
        <v>527.25</v>
      </c>
      <c r="I947" s="29" t="n">
        <f aca="false">H947/G947</f>
        <v>527.25</v>
      </c>
      <c r="J947" s="15" t="s">
        <v>253</v>
      </c>
      <c r="K947" s="15" t="s">
        <v>254</v>
      </c>
    </row>
    <row r="948" customFormat="false" ht="18.75" hidden="false" customHeight="true" outlineLevel="0" collapsed="false">
      <c r="A948" s="10" t="s">
        <v>1747</v>
      </c>
      <c r="B948" s="10" t="s">
        <v>664</v>
      </c>
      <c r="C948" s="10" t="s">
        <v>163</v>
      </c>
      <c r="D948" s="10" t="s">
        <v>36</v>
      </c>
      <c r="E948" s="10" t="s">
        <v>284</v>
      </c>
      <c r="F948" s="11" t="n">
        <v>108</v>
      </c>
      <c r="G948" s="11" t="n">
        <v>1</v>
      </c>
      <c r="H948" s="26" t="n">
        <v>524.65</v>
      </c>
      <c r="I948" s="26" t="n">
        <f aca="false">H948/G948</f>
        <v>524.65</v>
      </c>
      <c r="J948" s="10" t="s">
        <v>253</v>
      </c>
      <c r="K948" s="10" t="s">
        <v>254</v>
      </c>
    </row>
    <row r="949" customFormat="false" ht="18.75" hidden="false" customHeight="true" outlineLevel="0" collapsed="false">
      <c r="A949" s="15" t="s">
        <v>1748</v>
      </c>
      <c r="B949" s="15" t="s">
        <v>157</v>
      </c>
      <c r="C949" s="15" t="s">
        <v>155</v>
      </c>
      <c r="D949" s="15" t="s">
        <v>34</v>
      </c>
      <c r="E949" s="15" t="s">
        <v>284</v>
      </c>
      <c r="F949" s="16" t="n">
        <v>121</v>
      </c>
      <c r="G949" s="16" t="n">
        <v>1</v>
      </c>
      <c r="H949" s="29" t="n">
        <v>517.1</v>
      </c>
      <c r="I949" s="29" t="n">
        <f aca="false">H949/G949</f>
        <v>517.1</v>
      </c>
      <c r="J949" s="15" t="s">
        <v>253</v>
      </c>
      <c r="K949" s="15" t="s">
        <v>254</v>
      </c>
    </row>
    <row r="950" customFormat="false" ht="18.75" hidden="false" customHeight="true" outlineLevel="0" collapsed="false">
      <c r="A950" s="10" t="s">
        <v>1749</v>
      </c>
      <c r="B950" s="10" t="s">
        <v>1079</v>
      </c>
      <c r="C950" s="10" t="s">
        <v>140</v>
      </c>
      <c r="D950" s="10" t="s">
        <v>35</v>
      </c>
      <c r="E950" s="10" t="s">
        <v>284</v>
      </c>
      <c r="F950" s="11" t="n">
        <v>78</v>
      </c>
      <c r="G950" s="11" t="n">
        <v>2</v>
      </c>
      <c r="H950" s="26" t="n">
        <v>492.7</v>
      </c>
      <c r="I950" s="26" t="n">
        <f aca="false">H950/G950</f>
        <v>246.35</v>
      </c>
      <c r="J950" s="10" t="s">
        <v>253</v>
      </c>
      <c r="K950" s="10" t="s">
        <v>254</v>
      </c>
    </row>
    <row r="951" customFormat="false" ht="18.75" hidden="false" customHeight="true" outlineLevel="0" collapsed="false">
      <c r="A951" s="15" t="s">
        <v>1750</v>
      </c>
      <c r="B951" s="15" t="s">
        <v>468</v>
      </c>
      <c r="C951" s="15" t="s">
        <v>155</v>
      </c>
      <c r="D951" s="15" t="s">
        <v>34</v>
      </c>
      <c r="E951" s="15" t="s">
        <v>284</v>
      </c>
      <c r="F951" s="16" t="n">
        <v>287</v>
      </c>
      <c r="G951" s="16" t="n">
        <v>1</v>
      </c>
      <c r="H951" s="29" t="n">
        <v>490</v>
      </c>
      <c r="I951" s="29" t="n">
        <f aca="false">H951/G951</f>
        <v>490</v>
      </c>
      <c r="J951" s="15" t="s">
        <v>253</v>
      </c>
      <c r="K951" s="15" t="s">
        <v>254</v>
      </c>
    </row>
    <row r="952" customFormat="false" ht="18.75" hidden="false" customHeight="true" outlineLevel="0" collapsed="false">
      <c r="A952" s="10" t="s">
        <v>1751</v>
      </c>
      <c r="B952" s="10" t="s">
        <v>565</v>
      </c>
      <c r="C952" s="10" t="s">
        <v>160</v>
      </c>
      <c r="D952" s="10" t="s">
        <v>36</v>
      </c>
      <c r="E952" s="10" t="s">
        <v>284</v>
      </c>
      <c r="F952" s="11" t="n">
        <v>142</v>
      </c>
      <c r="G952" s="11" t="n">
        <v>1</v>
      </c>
      <c r="H952" s="26" t="n">
        <v>489.85</v>
      </c>
      <c r="I952" s="26" t="n">
        <f aca="false">H952/G952</f>
        <v>489.85</v>
      </c>
      <c r="J952" s="10" t="s">
        <v>253</v>
      </c>
      <c r="K952" s="10" t="s">
        <v>254</v>
      </c>
    </row>
    <row r="953" customFormat="false" ht="18.75" hidden="false" customHeight="true" outlineLevel="0" collapsed="false">
      <c r="A953" s="15" t="s">
        <v>1752</v>
      </c>
      <c r="B953" s="15" t="s">
        <v>1426</v>
      </c>
      <c r="C953" s="15" t="s">
        <v>146</v>
      </c>
      <c r="D953" s="15" t="s">
        <v>34</v>
      </c>
      <c r="E953" s="15" t="s">
        <v>284</v>
      </c>
      <c r="F953" s="16" t="n">
        <v>160</v>
      </c>
      <c r="G953" s="16" t="n">
        <v>1</v>
      </c>
      <c r="H953" s="29" t="n">
        <v>489.6</v>
      </c>
      <c r="I953" s="29" t="n">
        <f aca="false">H953/G953</f>
        <v>489.6</v>
      </c>
      <c r="J953" s="15" t="s">
        <v>253</v>
      </c>
      <c r="K953" s="15" t="s">
        <v>254</v>
      </c>
    </row>
    <row r="954" customFormat="false" ht="18.75" hidden="false" customHeight="true" outlineLevel="0" collapsed="false">
      <c r="A954" s="10" t="s">
        <v>1753</v>
      </c>
      <c r="B954" s="10" t="s">
        <v>196</v>
      </c>
      <c r="C954" s="10" t="s">
        <v>140</v>
      </c>
      <c r="D954" s="10" t="s">
        <v>35</v>
      </c>
      <c r="E954" s="10" t="s">
        <v>141</v>
      </c>
      <c r="F954" s="11" t="n">
        <v>147</v>
      </c>
      <c r="G954" s="11" t="n">
        <v>1</v>
      </c>
      <c r="H954" s="26" t="n">
        <v>489.44</v>
      </c>
      <c r="I954" s="26" t="n">
        <f aca="false">H954/G954</f>
        <v>489.44</v>
      </c>
      <c r="J954" s="10" t="s">
        <v>253</v>
      </c>
      <c r="K954" s="10" t="s">
        <v>254</v>
      </c>
    </row>
    <row r="955" customFormat="false" ht="18.75" hidden="false" customHeight="true" outlineLevel="0" collapsed="false">
      <c r="A955" s="15" t="s">
        <v>1754</v>
      </c>
      <c r="B955" s="15" t="s">
        <v>1646</v>
      </c>
      <c r="C955" s="15" t="s">
        <v>146</v>
      </c>
      <c r="D955" s="15" t="s">
        <v>34</v>
      </c>
      <c r="E955" s="15" t="s">
        <v>284</v>
      </c>
      <c r="F955" s="16" t="n">
        <v>139</v>
      </c>
      <c r="G955" s="16" t="n">
        <v>1</v>
      </c>
      <c r="H955" s="29" t="n">
        <v>481.4</v>
      </c>
      <c r="I955" s="29" t="n">
        <f aca="false">H955/G955</f>
        <v>481.4</v>
      </c>
      <c r="J955" s="15" t="s">
        <v>253</v>
      </c>
      <c r="K955" s="15" t="s">
        <v>254</v>
      </c>
    </row>
    <row r="956" customFormat="false" ht="18.75" hidden="false" customHeight="true" outlineLevel="0" collapsed="false">
      <c r="A956" s="10" t="s">
        <v>1755</v>
      </c>
      <c r="B956" s="10" t="s">
        <v>1756</v>
      </c>
      <c r="C956" s="10" t="s">
        <v>146</v>
      </c>
      <c r="D956" s="10" t="s">
        <v>34</v>
      </c>
      <c r="E956" s="10" t="s">
        <v>284</v>
      </c>
      <c r="F956" s="11" t="n">
        <v>246</v>
      </c>
      <c r="G956" s="11" t="n">
        <v>2</v>
      </c>
      <c r="H956" s="26" t="n">
        <v>472.8</v>
      </c>
      <c r="I956" s="26" t="n">
        <f aca="false">H956/G956</f>
        <v>236.4</v>
      </c>
      <c r="J956" s="10" t="s">
        <v>253</v>
      </c>
      <c r="K956" s="10" t="s">
        <v>254</v>
      </c>
    </row>
    <row r="957" customFormat="false" ht="18.75" hidden="false" customHeight="true" outlineLevel="0" collapsed="false">
      <c r="A957" s="15" t="s">
        <v>1757</v>
      </c>
      <c r="B957" s="15" t="s">
        <v>910</v>
      </c>
      <c r="C957" s="15" t="s">
        <v>184</v>
      </c>
      <c r="D957" s="15" t="s">
        <v>34</v>
      </c>
      <c r="E957" s="15" t="s">
        <v>284</v>
      </c>
      <c r="F957" s="16" t="n">
        <v>120</v>
      </c>
      <c r="G957" s="16" t="n">
        <v>3</v>
      </c>
      <c r="H957" s="29" t="n">
        <v>472.3</v>
      </c>
      <c r="I957" s="29" t="n">
        <f aca="false">H957/G957</f>
        <v>157.433333333333</v>
      </c>
      <c r="J957" s="15" t="s">
        <v>253</v>
      </c>
      <c r="K957" s="15" t="s">
        <v>254</v>
      </c>
    </row>
    <row r="958" customFormat="false" ht="18.75" hidden="false" customHeight="true" outlineLevel="0" collapsed="false">
      <c r="A958" s="10" t="s">
        <v>1758</v>
      </c>
      <c r="B958" s="10" t="s">
        <v>1671</v>
      </c>
      <c r="C958" s="10" t="s">
        <v>216</v>
      </c>
      <c r="D958" s="10" t="s">
        <v>34</v>
      </c>
      <c r="E958" s="10" t="s">
        <v>141</v>
      </c>
      <c r="F958" s="11" t="n">
        <v>342</v>
      </c>
      <c r="G958" s="11" t="n">
        <v>1</v>
      </c>
      <c r="H958" s="26" t="n">
        <v>463.68</v>
      </c>
      <c r="I958" s="26" t="n">
        <f aca="false">H958/G958</f>
        <v>463.68</v>
      </c>
      <c r="J958" s="10" t="s">
        <v>253</v>
      </c>
      <c r="K958" s="10" t="s">
        <v>254</v>
      </c>
    </row>
    <row r="959" customFormat="false" ht="18.75" hidden="false" customHeight="true" outlineLevel="0" collapsed="false">
      <c r="A959" s="15" t="s">
        <v>1759</v>
      </c>
      <c r="B959" s="15" t="s">
        <v>537</v>
      </c>
      <c r="C959" s="15" t="s">
        <v>216</v>
      </c>
      <c r="D959" s="15" t="s">
        <v>34</v>
      </c>
      <c r="E959" s="15" t="s">
        <v>284</v>
      </c>
      <c r="F959" s="16" t="n">
        <v>77</v>
      </c>
      <c r="G959" s="16" t="n">
        <v>1</v>
      </c>
      <c r="H959" s="29" t="n">
        <v>460.14</v>
      </c>
      <c r="I959" s="29" t="n">
        <f aca="false">H959/G959</f>
        <v>460.14</v>
      </c>
      <c r="J959" s="15" t="s">
        <v>253</v>
      </c>
      <c r="K959" s="15" t="s">
        <v>254</v>
      </c>
    </row>
    <row r="960" customFormat="false" ht="18.75" hidden="false" customHeight="true" outlineLevel="0" collapsed="false">
      <c r="A960" s="10" t="s">
        <v>1760</v>
      </c>
      <c r="B960" s="10" t="s">
        <v>1761</v>
      </c>
      <c r="C960" s="10" t="s">
        <v>146</v>
      </c>
      <c r="D960" s="10" t="s">
        <v>34</v>
      </c>
      <c r="E960" s="10" t="s">
        <v>384</v>
      </c>
      <c r="F960" s="11" t="n">
        <v>220</v>
      </c>
      <c r="G960" s="11" t="n">
        <v>2</v>
      </c>
      <c r="H960" s="26" t="n">
        <v>455.33</v>
      </c>
      <c r="I960" s="26" t="n">
        <f aca="false">H960/G960</f>
        <v>227.665</v>
      </c>
      <c r="J960" s="10" t="s">
        <v>253</v>
      </c>
      <c r="K960" s="10" t="s">
        <v>254</v>
      </c>
    </row>
    <row r="961" customFormat="false" ht="18.75" hidden="false" customHeight="true" outlineLevel="0" collapsed="false">
      <c r="A961" s="15" t="s">
        <v>1762</v>
      </c>
      <c r="B961" s="15" t="s">
        <v>658</v>
      </c>
      <c r="C961" s="15" t="s">
        <v>219</v>
      </c>
      <c r="D961" s="15" t="s">
        <v>35</v>
      </c>
      <c r="E961" s="15" t="s">
        <v>284</v>
      </c>
      <c r="F961" s="16" t="n">
        <v>8</v>
      </c>
      <c r="G961" s="16" t="n">
        <v>2</v>
      </c>
      <c r="H961" s="29" t="n">
        <v>454.35</v>
      </c>
      <c r="I961" s="29" t="n">
        <f aca="false">H961/G961</f>
        <v>227.175</v>
      </c>
      <c r="J961" s="15" t="s">
        <v>280</v>
      </c>
      <c r="K961" s="15" t="s">
        <v>281</v>
      </c>
    </row>
    <row r="962" customFormat="false" ht="18.75" hidden="false" customHeight="true" outlineLevel="0" collapsed="false">
      <c r="A962" s="10" t="s">
        <v>1763</v>
      </c>
      <c r="B962" s="10" t="s">
        <v>585</v>
      </c>
      <c r="C962" s="10" t="s">
        <v>219</v>
      </c>
      <c r="D962" s="10" t="s">
        <v>35</v>
      </c>
      <c r="E962" s="10" t="s">
        <v>284</v>
      </c>
      <c r="F962" s="11" t="n">
        <v>49</v>
      </c>
      <c r="G962" s="11" t="n">
        <v>1</v>
      </c>
      <c r="H962" s="26" t="n">
        <v>450</v>
      </c>
      <c r="I962" s="26" t="n">
        <f aca="false">H962/G962</f>
        <v>450</v>
      </c>
      <c r="J962" s="10" t="s">
        <v>253</v>
      </c>
      <c r="K962" s="10" t="s">
        <v>254</v>
      </c>
    </row>
    <row r="963" customFormat="false" ht="18.75" hidden="false" customHeight="true" outlineLevel="0" collapsed="false">
      <c r="A963" s="15" t="s">
        <v>1764</v>
      </c>
      <c r="B963" s="15" t="s">
        <v>1765</v>
      </c>
      <c r="C963" s="15" t="s">
        <v>181</v>
      </c>
      <c r="D963" s="15" t="s">
        <v>36</v>
      </c>
      <c r="E963" s="15" t="s">
        <v>384</v>
      </c>
      <c r="F963" s="16" t="n">
        <v>283</v>
      </c>
      <c r="G963" s="16" t="n">
        <v>1</v>
      </c>
      <c r="H963" s="29" t="n">
        <v>449.85</v>
      </c>
      <c r="I963" s="29" t="n">
        <f aca="false">H963/G963</f>
        <v>449.85</v>
      </c>
      <c r="J963" s="15" t="s">
        <v>253</v>
      </c>
      <c r="K963" s="15" t="s">
        <v>254</v>
      </c>
    </row>
    <row r="964" customFormat="false" ht="18.75" hidden="false" customHeight="true" outlineLevel="0" collapsed="false">
      <c r="A964" s="10" t="s">
        <v>1766</v>
      </c>
      <c r="B964" s="10" t="s">
        <v>1767</v>
      </c>
      <c r="C964" s="10" t="s">
        <v>184</v>
      </c>
      <c r="D964" s="10" t="s">
        <v>34</v>
      </c>
      <c r="E964" s="10" t="s">
        <v>284</v>
      </c>
      <c r="F964" s="11" t="n">
        <v>112</v>
      </c>
      <c r="G964" s="11" t="n">
        <v>2</v>
      </c>
      <c r="H964" s="26" t="n">
        <v>447.8</v>
      </c>
      <c r="I964" s="26" t="n">
        <f aca="false">H964/G964</f>
        <v>223.9</v>
      </c>
      <c r="J964" s="10" t="s">
        <v>253</v>
      </c>
      <c r="K964" s="10" t="s">
        <v>254</v>
      </c>
    </row>
    <row r="965" customFormat="false" ht="18.75" hidden="false" customHeight="true" outlineLevel="0" collapsed="false">
      <c r="A965" s="15" t="s">
        <v>1768</v>
      </c>
      <c r="B965" s="15" t="s">
        <v>1769</v>
      </c>
      <c r="C965" s="15" t="s">
        <v>149</v>
      </c>
      <c r="D965" s="15" t="s">
        <v>35</v>
      </c>
      <c r="E965" s="15" t="s">
        <v>284</v>
      </c>
      <c r="F965" s="16" t="n">
        <v>150</v>
      </c>
      <c r="G965" s="16" t="n">
        <v>2</v>
      </c>
      <c r="H965" s="29" t="n">
        <v>441.32</v>
      </c>
      <c r="I965" s="29" t="n">
        <f aca="false">H965/G965</f>
        <v>220.66</v>
      </c>
      <c r="J965" s="15" t="s">
        <v>253</v>
      </c>
      <c r="K965" s="15" t="s">
        <v>254</v>
      </c>
    </row>
    <row r="966" customFormat="false" ht="18.75" hidden="false" customHeight="true" outlineLevel="0" collapsed="false">
      <c r="A966" s="10" t="s">
        <v>1770</v>
      </c>
      <c r="B966" s="10" t="s">
        <v>1771</v>
      </c>
      <c r="C966" s="10" t="s">
        <v>155</v>
      </c>
      <c r="D966" s="10" t="s">
        <v>34</v>
      </c>
      <c r="E966" s="10" t="s">
        <v>284</v>
      </c>
      <c r="F966" s="11" t="n">
        <v>28</v>
      </c>
      <c r="G966" s="11" t="n">
        <v>3</v>
      </c>
      <c r="H966" s="26" t="n">
        <v>438.26</v>
      </c>
      <c r="I966" s="26" t="n">
        <f aca="false">H966/G966</f>
        <v>146.086666666667</v>
      </c>
      <c r="J966" s="10" t="s">
        <v>280</v>
      </c>
      <c r="K966" s="10" t="s">
        <v>281</v>
      </c>
    </row>
    <row r="967" customFormat="false" ht="18.75" hidden="false" customHeight="true" outlineLevel="0" collapsed="false">
      <c r="A967" s="15" t="s">
        <v>1772</v>
      </c>
      <c r="B967" s="15" t="s">
        <v>1773</v>
      </c>
      <c r="C967" s="15" t="s">
        <v>199</v>
      </c>
      <c r="D967" s="15" t="s">
        <v>36</v>
      </c>
      <c r="E967" s="15" t="s">
        <v>384</v>
      </c>
      <c r="F967" s="16" t="n">
        <v>104</v>
      </c>
      <c r="G967" s="16" t="n">
        <v>1</v>
      </c>
      <c r="H967" s="29" t="n">
        <v>431.65</v>
      </c>
      <c r="I967" s="29" t="n">
        <f aca="false">H967/G967</f>
        <v>431.65</v>
      </c>
      <c r="J967" s="15" t="s">
        <v>253</v>
      </c>
      <c r="K967" s="15" t="s">
        <v>254</v>
      </c>
    </row>
    <row r="968" customFormat="false" ht="18.75" hidden="false" customHeight="true" outlineLevel="0" collapsed="false">
      <c r="A968" s="10" t="s">
        <v>1774</v>
      </c>
      <c r="B968" s="10" t="s">
        <v>1775</v>
      </c>
      <c r="C968" s="10" t="s">
        <v>163</v>
      </c>
      <c r="D968" s="10" t="s">
        <v>36</v>
      </c>
      <c r="E968" s="10" t="s">
        <v>284</v>
      </c>
      <c r="F968" s="11" t="n">
        <v>160</v>
      </c>
      <c r="G968" s="11" t="n">
        <v>3</v>
      </c>
      <c r="H968" s="26" t="n">
        <v>426.83</v>
      </c>
      <c r="I968" s="26" t="n">
        <f aca="false">H968/G968</f>
        <v>142.276666666667</v>
      </c>
      <c r="J968" s="10" t="s">
        <v>253</v>
      </c>
      <c r="K968" s="10" t="s">
        <v>254</v>
      </c>
    </row>
    <row r="969" customFormat="false" ht="18.75" hidden="false" customHeight="true" outlineLevel="0" collapsed="false">
      <c r="A969" s="15" t="s">
        <v>1776</v>
      </c>
      <c r="B969" s="15" t="s">
        <v>1777</v>
      </c>
      <c r="C969" s="15" t="s">
        <v>163</v>
      </c>
      <c r="D969" s="15" t="s">
        <v>36</v>
      </c>
      <c r="E969" s="15" t="s">
        <v>284</v>
      </c>
      <c r="F969" s="16" t="n">
        <v>214</v>
      </c>
      <c r="G969" s="16" t="n">
        <v>1</v>
      </c>
      <c r="H969" s="29" t="n">
        <v>425.5</v>
      </c>
      <c r="I969" s="29" t="n">
        <f aca="false">H969/G969</f>
        <v>425.5</v>
      </c>
      <c r="J969" s="15" t="s">
        <v>253</v>
      </c>
      <c r="K969" s="15" t="s">
        <v>254</v>
      </c>
    </row>
    <row r="970" customFormat="false" ht="18.75" hidden="false" customHeight="true" outlineLevel="0" collapsed="false">
      <c r="A970" s="10" t="s">
        <v>1778</v>
      </c>
      <c r="B970" s="10" t="s">
        <v>1779</v>
      </c>
      <c r="C970" s="10" t="s">
        <v>163</v>
      </c>
      <c r="D970" s="10" t="s">
        <v>36</v>
      </c>
      <c r="E970" s="10" t="s">
        <v>284</v>
      </c>
      <c r="F970" s="11" t="n">
        <v>91</v>
      </c>
      <c r="G970" s="11" t="n">
        <v>3</v>
      </c>
      <c r="H970" s="26" t="n">
        <v>424.75</v>
      </c>
      <c r="I970" s="26" t="n">
        <f aca="false">H970/G970</f>
        <v>141.583333333333</v>
      </c>
      <c r="J970" s="10" t="s">
        <v>253</v>
      </c>
      <c r="K970" s="10" t="s">
        <v>254</v>
      </c>
    </row>
    <row r="971" customFormat="false" ht="18.75" hidden="false" customHeight="true" outlineLevel="0" collapsed="false">
      <c r="A971" s="15" t="s">
        <v>1780</v>
      </c>
      <c r="B971" s="15" t="s">
        <v>296</v>
      </c>
      <c r="C971" s="15" t="s">
        <v>226</v>
      </c>
      <c r="D971" s="15" t="s">
        <v>36</v>
      </c>
      <c r="E971" s="15" t="s">
        <v>284</v>
      </c>
      <c r="F971" s="16" t="n">
        <v>323</v>
      </c>
      <c r="G971" s="16" t="n">
        <v>2</v>
      </c>
      <c r="H971" s="29" t="n">
        <v>422.51</v>
      </c>
      <c r="I971" s="29" t="n">
        <f aca="false">H971/G971</f>
        <v>211.255</v>
      </c>
      <c r="J971" s="15" t="s">
        <v>253</v>
      </c>
      <c r="K971" s="15" t="s">
        <v>254</v>
      </c>
    </row>
    <row r="972" customFormat="false" ht="18.75" hidden="false" customHeight="true" outlineLevel="0" collapsed="false">
      <c r="A972" s="10" t="s">
        <v>1781</v>
      </c>
      <c r="B972" s="10" t="s">
        <v>1782</v>
      </c>
      <c r="C972" s="10" t="s">
        <v>140</v>
      </c>
      <c r="D972" s="10" t="s">
        <v>35</v>
      </c>
      <c r="E972" s="10" t="s">
        <v>284</v>
      </c>
      <c r="F972" s="11" t="n">
        <v>156</v>
      </c>
      <c r="G972" s="11" t="n">
        <v>2</v>
      </c>
      <c r="H972" s="26" t="n">
        <v>420.95</v>
      </c>
      <c r="I972" s="26" t="n">
        <f aca="false">H972/G972</f>
        <v>210.475</v>
      </c>
      <c r="J972" s="10" t="s">
        <v>253</v>
      </c>
      <c r="K972" s="10" t="s">
        <v>254</v>
      </c>
    </row>
    <row r="973" customFormat="false" ht="18.75" hidden="false" customHeight="true" outlineLevel="0" collapsed="false">
      <c r="A973" s="15" t="s">
        <v>1783</v>
      </c>
      <c r="B973" s="15" t="s">
        <v>1784</v>
      </c>
      <c r="C973" s="15" t="s">
        <v>146</v>
      </c>
      <c r="D973" s="15" t="s">
        <v>34</v>
      </c>
      <c r="E973" s="15" t="s">
        <v>384</v>
      </c>
      <c r="F973" s="16" t="n">
        <v>216</v>
      </c>
      <c r="G973" s="16" t="n">
        <v>1</v>
      </c>
      <c r="H973" s="29" t="n">
        <v>417.1</v>
      </c>
      <c r="I973" s="29" t="n">
        <f aca="false">H973/G973</f>
        <v>417.1</v>
      </c>
      <c r="J973" s="15" t="s">
        <v>253</v>
      </c>
      <c r="K973" s="15" t="s">
        <v>254</v>
      </c>
    </row>
    <row r="974" customFormat="false" ht="18.75" hidden="false" customHeight="true" outlineLevel="0" collapsed="false">
      <c r="A974" s="10" t="s">
        <v>1785</v>
      </c>
      <c r="B974" s="10" t="s">
        <v>681</v>
      </c>
      <c r="C974" s="10" t="s">
        <v>152</v>
      </c>
      <c r="D974" s="10" t="s">
        <v>35</v>
      </c>
      <c r="E974" s="10" t="s">
        <v>284</v>
      </c>
      <c r="F974" s="11" t="n">
        <v>299</v>
      </c>
      <c r="G974" s="11" t="n">
        <v>1</v>
      </c>
      <c r="H974" s="26" t="n">
        <v>407.4</v>
      </c>
      <c r="I974" s="26" t="n">
        <f aca="false">H974/G974</f>
        <v>407.4</v>
      </c>
      <c r="J974" s="10" t="s">
        <v>253</v>
      </c>
      <c r="K974" s="10" t="s">
        <v>254</v>
      </c>
    </row>
    <row r="975" customFormat="false" ht="18.75" hidden="false" customHeight="true" outlineLevel="0" collapsed="false">
      <c r="A975" s="15" t="s">
        <v>1786</v>
      </c>
      <c r="B975" s="15" t="s">
        <v>1787</v>
      </c>
      <c r="C975" s="15" t="s">
        <v>216</v>
      </c>
      <c r="D975" s="15" t="s">
        <v>34</v>
      </c>
      <c r="E975" s="15" t="s">
        <v>384</v>
      </c>
      <c r="F975" s="16" t="n">
        <v>155</v>
      </c>
      <c r="G975" s="16" t="n">
        <v>1</v>
      </c>
      <c r="H975" s="29" t="n">
        <v>399.65</v>
      </c>
      <c r="I975" s="29" t="n">
        <f aca="false">H975/G975</f>
        <v>399.65</v>
      </c>
      <c r="J975" s="15" t="s">
        <v>253</v>
      </c>
      <c r="K975" s="15" t="s">
        <v>254</v>
      </c>
    </row>
    <row r="976" customFormat="false" ht="18.75" hidden="false" customHeight="true" outlineLevel="0" collapsed="false">
      <c r="A976" s="10" t="s">
        <v>1788</v>
      </c>
      <c r="B976" s="10" t="s">
        <v>1119</v>
      </c>
      <c r="C976" s="10" t="s">
        <v>226</v>
      </c>
      <c r="D976" s="10" t="s">
        <v>36</v>
      </c>
      <c r="E976" s="10" t="s">
        <v>284</v>
      </c>
      <c r="F976" s="11" t="n">
        <v>162</v>
      </c>
      <c r="G976" s="11" t="n">
        <v>1</v>
      </c>
      <c r="H976" s="26" t="n">
        <v>395.2</v>
      </c>
      <c r="I976" s="26" t="n">
        <f aca="false">H976/G976</f>
        <v>395.2</v>
      </c>
      <c r="J976" s="10" t="s">
        <v>253</v>
      </c>
      <c r="K976" s="10" t="s">
        <v>254</v>
      </c>
    </row>
    <row r="977" customFormat="false" ht="18.75" hidden="false" customHeight="true" outlineLevel="0" collapsed="false">
      <c r="A977" s="15" t="s">
        <v>1789</v>
      </c>
      <c r="B977" s="15" t="s">
        <v>793</v>
      </c>
      <c r="C977" s="15" t="s">
        <v>199</v>
      </c>
      <c r="D977" s="15" t="s">
        <v>36</v>
      </c>
      <c r="E977" s="15" t="s">
        <v>284</v>
      </c>
      <c r="F977" s="16" t="n">
        <v>205</v>
      </c>
      <c r="G977" s="16" t="n">
        <v>1</v>
      </c>
      <c r="H977" s="29" t="n">
        <v>391.5</v>
      </c>
      <c r="I977" s="29" t="n">
        <f aca="false">H977/G977</f>
        <v>391.5</v>
      </c>
      <c r="J977" s="15" t="s">
        <v>253</v>
      </c>
      <c r="K977" s="15" t="s">
        <v>254</v>
      </c>
    </row>
    <row r="978" customFormat="false" ht="18.75" hidden="false" customHeight="true" outlineLevel="0" collapsed="false">
      <c r="A978" s="10" t="s">
        <v>1790</v>
      </c>
      <c r="B978" s="10" t="s">
        <v>624</v>
      </c>
      <c r="C978" s="10" t="s">
        <v>140</v>
      </c>
      <c r="D978" s="10" t="s">
        <v>35</v>
      </c>
      <c r="E978" s="10" t="s">
        <v>284</v>
      </c>
      <c r="F978" s="11" t="n">
        <v>278</v>
      </c>
      <c r="G978" s="11" t="n">
        <v>1</v>
      </c>
      <c r="H978" s="26" t="n">
        <v>391.2</v>
      </c>
      <c r="I978" s="26" t="n">
        <f aca="false">H978/G978</f>
        <v>391.2</v>
      </c>
      <c r="J978" s="10" t="s">
        <v>253</v>
      </c>
      <c r="K978" s="10" t="s">
        <v>254</v>
      </c>
    </row>
    <row r="979" customFormat="false" ht="18.75" hidden="false" customHeight="true" outlineLevel="0" collapsed="false">
      <c r="A979" s="15" t="s">
        <v>1791</v>
      </c>
      <c r="B979" s="15" t="s">
        <v>1625</v>
      </c>
      <c r="C979" s="15" t="s">
        <v>207</v>
      </c>
      <c r="D979" s="15" t="s">
        <v>35</v>
      </c>
      <c r="E979" s="15" t="s">
        <v>284</v>
      </c>
      <c r="F979" s="16" t="n">
        <v>199</v>
      </c>
      <c r="G979" s="16" t="n">
        <v>2</v>
      </c>
      <c r="H979" s="29" t="n">
        <v>381.7</v>
      </c>
      <c r="I979" s="29" t="n">
        <f aca="false">H979/G979</f>
        <v>190.85</v>
      </c>
      <c r="J979" s="15" t="s">
        <v>253</v>
      </c>
      <c r="K979" s="15" t="s">
        <v>254</v>
      </c>
    </row>
    <row r="980" customFormat="false" ht="18.75" hidden="false" customHeight="true" outlineLevel="0" collapsed="false">
      <c r="A980" s="10" t="s">
        <v>1792</v>
      </c>
      <c r="B980" s="10" t="s">
        <v>1793</v>
      </c>
      <c r="C980" s="10" t="s">
        <v>216</v>
      </c>
      <c r="D980" s="10" t="s">
        <v>34</v>
      </c>
      <c r="E980" s="10" t="s">
        <v>284</v>
      </c>
      <c r="F980" s="11" t="n">
        <v>41</v>
      </c>
      <c r="G980" s="11" t="n">
        <v>1</v>
      </c>
      <c r="H980" s="26" t="n">
        <v>372.4</v>
      </c>
      <c r="I980" s="26" t="n">
        <f aca="false">H980/G980</f>
        <v>372.4</v>
      </c>
      <c r="J980" s="10" t="s">
        <v>280</v>
      </c>
      <c r="K980" s="10" t="s">
        <v>281</v>
      </c>
    </row>
    <row r="981" customFormat="false" ht="18.75" hidden="false" customHeight="true" outlineLevel="0" collapsed="false">
      <c r="A981" s="15" t="s">
        <v>1794</v>
      </c>
      <c r="B981" s="15" t="s">
        <v>1767</v>
      </c>
      <c r="C981" s="15" t="s">
        <v>207</v>
      </c>
      <c r="D981" s="15" t="s">
        <v>35</v>
      </c>
      <c r="E981" s="15" t="s">
        <v>284</v>
      </c>
      <c r="F981" s="16" t="n">
        <v>41</v>
      </c>
      <c r="G981" s="16" t="n">
        <v>1</v>
      </c>
      <c r="H981" s="29" t="n">
        <v>358.7</v>
      </c>
      <c r="I981" s="29" t="n">
        <f aca="false">H981/G981</f>
        <v>358.7</v>
      </c>
      <c r="J981" s="15" t="s">
        <v>280</v>
      </c>
      <c r="K981" s="15" t="s">
        <v>281</v>
      </c>
    </row>
    <row r="982" customFormat="false" ht="18.75" hidden="false" customHeight="true" outlineLevel="0" collapsed="false">
      <c r="A982" s="10" t="s">
        <v>1795</v>
      </c>
      <c r="B982" s="10" t="s">
        <v>587</v>
      </c>
      <c r="C982" s="10" t="s">
        <v>140</v>
      </c>
      <c r="D982" s="10" t="s">
        <v>35</v>
      </c>
      <c r="E982" s="10" t="s">
        <v>284</v>
      </c>
      <c r="F982" s="11" t="n">
        <v>241</v>
      </c>
      <c r="G982" s="11" t="n">
        <v>1</v>
      </c>
      <c r="H982" s="26" t="n">
        <v>357.01</v>
      </c>
      <c r="I982" s="26" t="n">
        <f aca="false">H982/G982</f>
        <v>357.01</v>
      </c>
      <c r="J982" s="10" t="s">
        <v>253</v>
      </c>
      <c r="K982" s="10" t="s">
        <v>254</v>
      </c>
    </row>
    <row r="983" customFormat="false" ht="18.75" hidden="false" customHeight="true" outlineLevel="0" collapsed="false">
      <c r="A983" s="15" t="s">
        <v>1796</v>
      </c>
      <c r="B983" s="15" t="s">
        <v>1771</v>
      </c>
      <c r="C983" s="15" t="s">
        <v>155</v>
      </c>
      <c r="D983" s="15" t="s">
        <v>34</v>
      </c>
      <c r="E983" s="15" t="s">
        <v>284</v>
      </c>
      <c r="F983" s="16" t="n">
        <v>64</v>
      </c>
      <c r="G983" s="16" t="n">
        <v>3</v>
      </c>
      <c r="H983" s="29" t="n">
        <v>356.6</v>
      </c>
      <c r="I983" s="29" t="n">
        <f aca="false">H983/G983</f>
        <v>118.866666666667</v>
      </c>
      <c r="J983" s="15" t="s">
        <v>253</v>
      </c>
      <c r="K983" s="15" t="s">
        <v>254</v>
      </c>
    </row>
    <row r="984" customFormat="false" ht="18.75" hidden="false" customHeight="true" outlineLevel="0" collapsed="false">
      <c r="A984" s="10" t="s">
        <v>1797</v>
      </c>
      <c r="B984" s="10" t="s">
        <v>1798</v>
      </c>
      <c r="C984" s="10" t="s">
        <v>199</v>
      </c>
      <c r="D984" s="10" t="s">
        <v>36</v>
      </c>
      <c r="E984" s="10" t="s">
        <v>284</v>
      </c>
      <c r="F984" s="11" t="n">
        <v>47</v>
      </c>
      <c r="G984" s="11" t="n">
        <v>1</v>
      </c>
      <c r="H984" s="26" t="n">
        <v>352.4</v>
      </c>
      <c r="I984" s="26" t="n">
        <f aca="false">H984/G984</f>
        <v>352.4</v>
      </c>
      <c r="J984" s="10" t="s">
        <v>280</v>
      </c>
      <c r="K984" s="10" t="s">
        <v>281</v>
      </c>
    </row>
    <row r="985" customFormat="false" ht="18.75" hidden="false" customHeight="true" outlineLevel="0" collapsed="false">
      <c r="A985" s="15" t="s">
        <v>1799</v>
      </c>
      <c r="B985" s="15" t="s">
        <v>344</v>
      </c>
      <c r="C985" s="15" t="s">
        <v>184</v>
      </c>
      <c r="D985" s="15" t="s">
        <v>34</v>
      </c>
      <c r="E985" s="15" t="s">
        <v>284</v>
      </c>
      <c r="F985" s="16" t="n">
        <v>319</v>
      </c>
      <c r="G985" s="16" t="n">
        <v>1</v>
      </c>
      <c r="H985" s="29" t="n">
        <v>335</v>
      </c>
      <c r="I985" s="29" t="n">
        <f aca="false">H985/G985</f>
        <v>335</v>
      </c>
      <c r="J985" s="15" t="s">
        <v>253</v>
      </c>
      <c r="K985" s="15" t="s">
        <v>254</v>
      </c>
    </row>
    <row r="986" customFormat="false" ht="18.75" hidden="false" customHeight="true" outlineLevel="0" collapsed="false">
      <c r="A986" s="10" t="s">
        <v>1800</v>
      </c>
      <c r="B986" s="10" t="s">
        <v>537</v>
      </c>
      <c r="C986" s="10" t="s">
        <v>160</v>
      </c>
      <c r="D986" s="10" t="s">
        <v>36</v>
      </c>
      <c r="E986" s="10" t="s">
        <v>284</v>
      </c>
      <c r="F986" s="11" t="n">
        <v>207</v>
      </c>
      <c r="G986" s="11" t="n">
        <v>1</v>
      </c>
      <c r="H986" s="26" t="n">
        <v>327.75</v>
      </c>
      <c r="I986" s="26" t="n">
        <f aca="false">H986/G986</f>
        <v>327.75</v>
      </c>
      <c r="J986" s="10" t="s">
        <v>253</v>
      </c>
      <c r="K986" s="10" t="s">
        <v>254</v>
      </c>
    </row>
    <row r="987" customFormat="false" ht="18.75" hidden="false" customHeight="true" outlineLevel="0" collapsed="false">
      <c r="A987" s="15" t="s">
        <v>1801</v>
      </c>
      <c r="B987" s="15" t="s">
        <v>314</v>
      </c>
      <c r="C987" s="15" t="s">
        <v>226</v>
      </c>
      <c r="D987" s="15" t="s">
        <v>36</v>
      </c>
      <c r="E987" s="15" t="s">
        <v>284</v>
      </c>
      <c r="F987" s="16" t="n">
        <v>255</v>
      </c>
      <c r="G987" s="16" t="n">
        <v>1</v>
      </c>
      <c r="H987" s="29" t="n">
        <v>321.56</v>
      </c>
      <c r="I987" s="29" t="n">
        <f aca="false">H987/G987</f>
        <v>321.56</v>
      </c>
      <c r="J987" s="15" t="s">
        <v>253</v>
      </c>
      <c r="K987" s="15" t="s">
        <v>254</v>
      </c>
    </row>
    <row r="988" customFormat="false" ht="18.75" hidden="false" customHeight="true" outlineLevel="0" collapsed="false">
      <c r="A988" s="10" t="s">
        <v>1802</v>
      </c>
      <c r="B988" s="10" t="s">
        <v>1803</v>
      </c>
      <c r="C988" s="10" t="s">
        <v>155</v>
      </c>
      <c r="D988" s="10" t="s">
        <v>34</v>
      </c>
      <c r="E988" s="10" t="s">
        <v>284</v>
      </c>
      <c r="F988" s="11" t="n">
        <v>111</v>
      </c>
      <c r="G988" s="11" t="n">
        <v>1</v>
      </c>
      <c r="H988" s="26" t="n">
        <v>319.35</v>
      </c>
      <c r="I988" s="26" t="n">
        <f aca="false">H988/G988</f>
        <v>319.35</v>
      </c>
      <c r="J988" s="10" t="s">
        <v>253</v>
      </c>
      <c r="K988" s="10" t="s">
        <v>254</v>
      </c>
    </row>
    <row r="989" customFormat="false" ht="18.75" hidden="false" customHeight="true" outlineLevel="0" collapsed="false">
      <c r="A989" s="15" t="s">
        <v>1804</v>
      </c>
      <c r="B989" s="15" t="s">
        <v>1805</v>
      </c>
      <c r="C989" s="15" t="s">
        <v>163</v>
      </c>
      <c r="D989" s="15" t="s">
        <v>36</v>
      </c>
      <c r="E989" s="15" t="s">
        <v>284</v>
      </c>
      <c r="F989" s="16" t="n">
        <v>48</v>
      </c>
      <c r="G989" s="16" t="n">
        <v>2</v>
      </c>
      <c r="H989" s="29" t="n">
        <v>315.52</v>
      </c>
      <c r="I989" s="29" t="n">
        <f aca="false">H989/G989</f>
        <v>157.76</v>
      </c>
      <c r="J989" s="15" t="s">
        <v>280</v>
      </c>
      <c r="K989" s="15" t="s">
        <v>281</v>
      </c>
    </row>
    <row r="990" customFormat="false" ht="18.75" hidden="false" customHeight="true" outlineLevel="0" collapsed="false">
      <c r="A990" s="10" t="s">
        <v>1806</v>
      </c>
      <c r="B990" s="10" t="s">
        <v>1398</v>
      </c>
      <c r="C990" s="10" t="s">
        <v>163</v>
      </c>
      <c r="D990" s="10" t="s">
        <v>36</v>
      </c>
      <c r="E990" s="10" t="s">
        <v>284</v>
      </c>
      <c r="F990" s="11" t="n">
        <v>127</v>
      </c>
      <c r="G990" s="11" t="n">
        <v>1</v>
      </c>
      <c r="H990" s="26" t="n">
        <v>310</v>
      </c>
      <c r="I990" s="26" t="n">
        <f aca="false">H990/G990</f>
        <v>310</v>
      </c>
      <c r="J990" s="10" t="s">
        <v>253</v>
      </c>
      <c r="K990" s="10" t="s">
        <v>254</v>
      </c>
    </row>
    <row r="991" customFormat="false" ht="18.75" hidden="false" customHeight="true" outlineLevel="0" collapsed="false">
      <c r="A991" s="15" t="s">
        <v>1807</v>
      </c>
      <c r="B991" s="15" t="s">
        <v>929</v>
      </c>
      <c r="C991" s="15" t="s">
        <v>216</v>
      </c>
      <c r="D991" s="15" t="s">
        <v>34</v>
      </c>
      <c r="E991" s="15" t="s">
        <v>284</v>
      </c>
      <c r="F991" s="16" t="n">
        <v>26</v>
      </c>
      <c r="G991" s="16" t="n">
        <v>1</v>
      </c>
      <c r="H991" s="29" t="n">
        <v>309</v>
      </c>
      <c r="I991" s="29" t="n">
        <f aca="false">H991/G991</f>
        <v>309</v>
      </c>
      <c r="J991" s="15" t="s">
        <v>280</v>
      </c>
      <c r="K991" s="15" t="s">
        <v>281</v>
      </c>
    </row>
    <row r="992" customFormat="false" ht="18.75" hidden="false" customHeight="true" outlineLevel="0" collapsed="false">
      <c r="A992" s="10" t="s">
        <v>1808</v>
      </c>
      <c r="B992" s="10" t="s">
        <v>1343</v>
      </c>
      <c r="C992" s="10" t="s">
        <v>216</v>
      </c>
      <c r="D992" s="10" t="s">
        <v>34</v>
      </c>
      <c r="E992" s="10" t="s">
        <v>284</v>
      </c>
      <c r="F992" s="11" t="n">
        <v>160</v>
      </c>
      <c r="G992" s="11" t="n">
        <v>1</v>
      </c>
      <c r="H992" s="26" t="n">
        <v>302.6</v>
      </c>
      <c r="I992" s="26" t="n">
        <f aca="false">H992/G992</f>
        <v>302.6</v>
      </c>
      <c r="J992" s="10" t="s">
        <v>253</v>
      </c>
      <c r="K992" s="10" t="s">
        <v>254</v>
      </c>
    </row>
    <row r="993" customFormat="false" ht="18.75" hidden="false" customHeight="true" outlineLevel="0" collapsed="false">
      <c r="A993" s="15" t="s">
        <v>1809</v>
      </c>
      <c r="B993" s="15" t="s">
        <v>861</v>
      </c>
      <c r="C993" s="15" t="s">
        <v>149</v>
      </c>
      <c r="D993" s="15" t="s">
        <v>35</v>
      </c>
      <c r="E993" s="15" t="s">
        <v>284</v>
      </c>
      <c r="F993" s="16" t="n">
        <v>59</v>
      </c>
      <c r="G993" s="16" t="n">
        <v>1</v>
      </c>
      <c r="H993" s="29" t="n">
        <v>300.69</v>
      </c>
      <c r="I993" s="29" t="n">
        <f aca="false">H993/G993</f>
        <v>300.69</v>
      </c>
      <c r="J993" s="15" t="s">
        <v>253</v>
      </c>
      <c r="K993" s="15" t="s">
        <v>254</v>
      </c>
    </row>
    <row r="994" customFormat="false" ht="18.75" hidden="false" customHeight="true" outlineLevel="0" collapsed="false">
      <c r="A994" s="10" t="s">
        <v>1810</v>
      </c>
      <c r="B994" s="10" t="s">
        <v>1811</v>
      </c>
      <c r="C994" s="10" t="s">
        <v>184</v>
      </c>
      <c r="D994" s="10" t="s">
        <v>34</v>
      </c>
      <c r="E994" s="10" t="s">
        <v>284</v>
      </c>
      <c r="F994" s="11" t="n">
        <v>17</v>
      </c>
      <c r="G994" s="11" t="n">
        <v>1</v>
      </c>
      <c r="H994" s="26" t="n">
        <v>300</v>
      </c>
      <c r="I994" s="26" t="n">
        <f aca="false">H994/G994</f>
        <v>300</v>
      </c>
      <c r="J994" s="10" t="s">
        <v>280</v>
      </c>
      <c r="K994" s="10" t="s">
        <v>281</v>
      </c>
    </row>
    <row r="995" customFormat="false" ht="18.75" hidden="false" customHeight="true" outlineLevel="0" collapsed="false">
      <c r="A995" s="15" t="s">
        <v>1812</v>
      </c>
      <c r="B995" s="15" t="s">
        <v>256</v>
      </c>
      <c r="C995" s="15" t="s">
        <v>199</v>
      </c>
      <c r="D995" s="15" t="s">
        <v>36</v>
      </c>
      <c r="E995" s="15" t="s">
        <v>284</v>
      </c>
      <c r="F995" s="16" t="n">
        <v>227</v>
      </c>
      <c r="G995" s="16" t="n">
        <v>2</v>
      </c>
      <c r="H995" s="29" t="n">
        <v>299.75</v>
      </c>
      <c r="I995" s="29" t="n">
        <f aca="false">H995/G995</f>
        <v>149.875</v>
      </c>
      <c r="J995" s="15" t="s">
        <v>253</v>
      </c>
      <c r="K995" s="15" t="s">
        <v>254</v>
      </c>
    </row>
    <row r="996" customFormat="false" ht="18.75" hidden="false" customHeight="true" outlineLevel="0" collapsed="false">
      <c r="A996" s="10" t="s">
        <v>1813</v>
      </c>
      <c r="B996" s="10" t="s">
        <v>1814</v>
      </c>
      <c r="C996" s="10" t="s">
        <v>155</v>
      </c>
      <c r="D996" s="10" t="s">
        <v>34</v>
      </c>
      <c r="E996" s="10" t="s">
        <v>384</v>
      </c>
      <c r="F996" s="11" t="n">
        <v>158</v>
      </c>
      <c r="G996" s="11" t="n">
        <v>2</v>
      </c>
      <c r="H996" s="26" t="n">
        <v>292.9</v>
      </c>
      <c r="I996" s="26" t="n">
        <f aca="false">H996/G996</f>
        <v>146.45</v>
      </c>
      <c r="J996" s="10" t="s">
        <v>253</v>
      </c>
      <c r="K996" s="10" t="s">
        <v>254</v>
      </c>
    </row>
    <row r="997" customFormat="false" ht="18.75" hidden="false" customHeight="true" outlineLevel="0" collapsed="false">
      <c r="A997" s="15" t="s">
        <v>1815</v>
      </c>
      <c r="B997" s="15" t="s">
        <v>1816</v>
      </c>
      <c r="C997" s="15" t="s">
        <v>146</v>
      </c>
      <c r="D997" s="15" t="s">
        <v>34</v>
      </c>
      <c r="E997" s="15" t="s">
        <v>284</v>
      </c>
      <c r="F997" s="16" t="n">
        <v>247</v>
      </c>
      <c r="G997" s="16" t="n">
        <v>2</v>
      </c>
      <c r="H997" s="29" t="n">
        <v>290.5</v>
      </c>
      <c r="I997" s="29" t="n">
        <f aca="false">H997/G997</f>
        <v>145.25</v>
      </c>
      <c r="J997" s="15" t="s">
        <v>253</v>
      </c>
      <c r="K997" s="15" t="s">
        <v>254</v>
      </c>
    </row>
    <row r="998" customFormat="false" ht="18.75" hidden="false" customHeight="true" outlineLevel="0" collapsed="false">
      <c r="A998" s="10" t="s">
        <v>1817</v>
      </c>
      <c r="B998" s="10" t="s">
        <v>1818</v>
      </c>
      <c r="C998" s="10" t="s">
        <v>152</v>
      </c>
      <c r="D998" s="10" t="s">
        <v>35</v>
      </c>
      <c r="E998" s="10" t="s">
        <v>284</v>
      </c>
      <c r="F998" s="11" t="n">
        <v>190</v>
      </c>
      <c r="G998" s="11" t="n">
        <v>1</v>
      </c>
      <c r="H998" s="26" t="n">
        <v>288.8</v>
      </c>
      <c r="I998" s="26" t="n">
        <f aca="false">H998/G998</f>
        <v>288.8</v>
      </c>
      <c r="J998" s="10" t="s">
        <v>253</v>
      </c>
      <c r="K998" s="10" t="s">
        <v>254</v>
      </c>
    </row>
    <row r="999" customFormat="false" ht="18.75" hidden="false" customHeight="true" outlineLevel="0" collapsed="false">
      <c r="A999" s="15" t="s">
        <v>1819</v>
      </c>
      <c r="B999" s="15" t="s">
        <v>192</v>
      </c>
      <c r="C999" s="15" t="s">
        <v>216</v>
      </c>
      <c r="D999" s="15" t="s">
        <v>34</v>
      </c>
      <c r="E999" s="15" t="s">
        <v>284</v>
      </c>
      <c r="F999" s="16" t="n">
        <v>11</v>
      </c>
      <c r="G999" s="16" t="n">
        <v>3</v>
      </c>
      <c r="H999" s="29" t="n">
        <v>283.6</v>
      </c>
      <c r="I999" s="29" t="n">
        <f aca="false">H999/G999</f>
        <v>94.5333333333334</v>
      </c>
      <c r="J999" s="15" t="s">
        <v>280</v>
      </c>
      <c r="K999" s="15" t="s">
        <v>281</v>
      </c>
    </row>
    <row r="1000" customFormat="false" ht="18.75" hidden="false" customHeight="true" outlineLevel="0" collapsed="false">
      <c r="A1000" s="10" t="s">
        <v>1820</v>
      </c>
      <c r="B1000" s="10" t="s">
        <v>441</v>
      </c>
      <c r="C1000" s="10" t="s">
        <v>152</v>
      </c>
      <c r="D1000" s="10" t="s">
        <v>35</v>
      </c>
      <c r="E1000" s="10" t="s">
        <v>384</v>
      </c>
      <c r="F1000" s="11" t="n">
        <v>70</v>
      </c>
      <c r="G1000" s="11" t="n">
        <v>1</v>
      </c>
      <c r="H1000" s="26" t="n">
        <v>280</v>
      </c>
      <c r="I1000" s="26" t="n">
        <f aca="false">H1000/G1000</f>
        <v>280</v>
      </c>
      <c r="J1000" s="10" t="s">
        <v>253</v>
      </c>
      <c r="K1000" s="10" t="s">
        <v>254</v>
      </c>
    </row>
    <row r="1001" customFormat="false" ht="18.75" hidden="false" customHeight="true" outlineLevel="0" collapsed="false">
      <c r="A1001" s="15" t="s">
        <v>1821</v>
      </c>
      <c r="B1001" s="15" t="s">
        <v>396</v>
      </c>
      <c r="C1001" s="15" t="s">
        <v>155</v>
      </c>
      <c r="D1001" s="15" t="s">
        <v>34</v>
      </c>
      <c r="E1001" s="15" t="s">
        <v>284</v>
      </c>
      <c r="F1001" s="16" t="n">
        <v>141</v>
      </c>
      <c r="G1001" s="16" t="n">
        <v>2</v>
      </c>
      <c r="H1001" s="29" t="n">
        <v>275.65</v>
      </c>
      <c r="I1001" s="29" t="n">
        <f aca="false">H1001/G1001</f>
        <v>137.825</v>
      </c>
      <c r="J1001" s="15" t="s">
        <v>253</v>
      </c>
      <c r="K1001" s="15" t="s">
        <v>254</v>
      </c>
    </row>
    <row r="1002" customFormat="false" ht="18.75" hidden="false" customHeight="true" outlineLevel="0" collapsed="false">
      <c r="A1002" s="10" t="s">
        <v>1822</v>
      </c>
      <c r="B1002" s="10" t="s">
        <v>1823</v>
      </c>
      <c r="C1002" s="10" t="s">
        <v>146</v>
      </c>
      <c r="D1002" s="10" t="s">
        <v>34</v>
      </c>
      <c r="E1002" s="10" t="s">
        <v>284</v>
      </c>
      <c r="F1002" s="11" t="n">
        <v>228</v>
      </c>
      <c r="G1002" s="11" t="n">
        <v>1</v>
      </c>
      <c r="H1002" s="26" t="n">
        <v>255.11</v>
      </c>
      <c r="I1002" s="26" t="n">
        <f aca="false">H1002/G1002</f>
        <v>255.11</v>
      </c>
      <c r="J1002" s="10" t="s">
        <v>253</v>
      </c>
      <c r="K1002" s="10" t="s">
        <v>254</v>
      </c>
    </row>
    <row r="1003" customFormat="false" ht="18.75" hidden="false" customHeight="true" outlineLevel="0" collapsed="false">
      <c r="A1003" s="15" t="s">
        <v>1824</v>
      </c>
      <c r="B1003" s="15" t="s">
        <v>1825</v>
      </c>
      <c r="C1003" s="15" t="s">
        <v>152</v>
      </c>
      <c r="D1003" s="15" t="s">
        <v>35</v>
      </c>
      <c r="E1003" s="15" t="s">
        <v>284</v>
      </c>
      <c r="F1003" s="16" t="n">
        <v>18</v>
      </c>
      <c r="G1003" s="16" t="n">
        <v>2</v>
      </c>
      <c r="H1003" s="29" t="n">
        <v>254.45</v>
      </c>
      <c r="I1003" s="29" t="n">
        <f aca="false">H1003/G1003</f>
        <v>127.225</v>
      </c>
      <c r="J1003" s="15" t="s">
        <v>280</v>
      </c>
      <c r="K1003" s="15" t="s">
        <v>281</v>
      </c>
    </row>
    <row r="1004" customFormat="false" ht="18.75" hidden="false" customHeight="true" outlineLevel="0" collapsed="false">
      <c r="A1004" s="10" t="s">
        <v>1826</v>
      </c>
      <c r="B1004" s="10" t="s">
        <v>1231</v>
      </c>
      <c r="C1004" s="10" t="s">
        <v>160</v>
      </c>
      <c r="D1004" s="10" t="s">
        <v>36</v>
      </c>
      <c r="E1004" s="10" t="s">
        <v>284</v>
      </c>
      <c r="F1004" s="11" t="n">
        <v>267</v>
      </c>
      <c r="G1004" s="11" t="n">
        <v>1</v>
      </c>
      <c r="H1004" s="26" t="n">
        <v>252.2</v>
      </c>
      <c r="I1004" s="26" t="n">
        <f aca="false">H1004/G1004</f>
        <v>252.2</v>
      </c>
      <c r="J1004" s="10" t="s">
        <v>253</v>
      </c>
      <c r="K1004" s="10" t="s">
        <v>254</v>
      </c>
    </row>
    <row r="1005" customFormat="false" ht="18.75" hidden="false" customHeight="true" outlineLevel="0" collapsed="false">
      <c r="A1005" s="15" t="s">
        <v>1827</v>
      </c>
      <c r="B1005" s="15" t="s">
        <v>1828</v>
      </c>
      <c r="C1005" s="15" t="s">
        <v>149</v>
      </c>
      <c r="D1005" s="15" t="s">
        <v>35</v>
      </c>
      <c r="E1005" s="15" t="s">
        <v>284</v>
      </c>
      <c r="F1005" s="16" t="n">
        <v>30</v>
      </c>
      <c r="G1005" s="16" t="n">
        <v>1</v>
      </c>
      <c r="H1005" s="29" t="n">
        <v>252.2</v>
      </c>
      <c r="I1005" s="29" t="n">
        <f aca="false">H1005/G1005</f>
        <v>252.2</v>
      </c>
      <c r="J1005" s="15" t="s">
        <v>280</v>
      </c>
      <c r="K1005" s="15" t="s">
        <v>281</v>
      </c>
    </row>
    <row r="1006" customFormat="false" ht="18.75" hidden="false" customHeight="true" outlineLevel="0" collapsed="false">
      <c r="A1006" s="10" t="s">
        <v>1829</v>
      </c>
      <c r="B1006" s="10" t="s">
        <v>1830</v>
      </c>
      <c r="C1006" s="10" t="s">
        <v>166</v>
      </c>
      <c r="D1006" s="10" t="s">
        <v>35</v>
      </c>
      <c r="E1006" s="10" t="s">
        <v>284</v>
      </c>
      <c r="F1006" s="11" t="n">
        <v>309</v>
      </c>
      <c r="G1006" s="11" t="n">
        <v>1</v>
      </c>
      <c r="H1006" s="26" t="n">
        <v>251.7</v>
      </c>
      <c r="I1006" s="26" t="n">
        <f aca="false">H1006/G1006</f>
        <v>251.7</v>
      </c>
      <c r="J1006" s="10" t="s">
        <v>253</v>
      </c>
      <c r="K1006" s="10" t="s">
        <v>254</v>
      </c>
    </row>
    <row r="1007" customFormat="false" ht="18.75" hidden="false" customHeight="true" outlineLevel="0" collapsed="false">
      <c r="A1007" s="15" t="s">
        <v>1831</v>
      </c>
      <c r="B1007" s="15" t="s">
        <v>1832</v>
      </c>
      <c r="C1007" s="15" t="s">
        <v>149</v>
      </c>
      <c r="D1007" s="15" t="s">
        <v>35</v>
      </c>
      <c r="E1007" s="15" t="s">
        <v>284</v>
      </c>
      <c r="F1007" s="16" t="n">
        <v>177</v>
      </c>
      <c r="G1007" s="16" t="n">
        <v>1</v>
      </c>
      <c r="H1007" s="29" t="n">
        <v>245</v>
      </c>
      <c r="I1007" s="29" t="n">
        <f aca="false">H1007/G1007</f>
        <v>245</v>
      </c>
      <c r="J1007" s="15" t="s">
        <v>253</v>
      </c>
      <c r="K1007" s="15" t="s">
        <v>254</v>
      </c>
    </row>
    <row r="1008" customFormat="false" ht="18.75" hidden="false" customHeight="true" outlineLevel="0" collapsed="false">
      <c r="A1008" s="10" t="s">
        <v>1833</v>
      </c>
      <c r="B1008" s="10" t="s">
        <v>646</v>
      </c>
      <c r="C1008" s="10" t="s">
        <v>149</v>
      </c>
      <c r="D1008" s="10" t="s">
        <v>35</v>
      </c>
      <c r="E1008" s="10" t="s">
        <v>284</v>
      </c>
      <c r="F1008" s="11" t="n">
        <v>93</v>
      </c>
      <c r="G1008" s="11" t="n">
        <v>1</v>
      </c>
      <c r="H1008" s="26" t="n">
        <v>229</v>
      </c>
      <c r="I1008" s="26" t="n">
        <f aca="false">H1008/G1008</f>
        <v>229</v>
      </c>
      <c r="J1008" s="10" t="s">
        <v>253</v>
      </c>
      <c r="K1008" s="10" t="s">
        <v>254</v>
      </c>
    </row>
    <row r="1009" customFormat="false" ht="18.75" hidden="false" customHeight="true" outlineLevel="0" collapsed="false">
      <c r="A1009" s="15" t="s">
        <v>1834</v>
      </c>
      <c r="B1009" s="15" t="s">
        <v>358</v>
      </c>
      <c r="C1009" s="15" t="s">
        <v>166</v>
      </c>
      <c r="D1009" s="15" t="s">
        <v>35</v>
      </c>
      <c r="E1009" s="15" t="s">
        <v>284</v>
      </c>
      <c r="F1009" s="16" t="n">
        <v>173</v>
      </c>
      <c r="G1009" s="16" t="n">
        <v>1</v>
      </c>
      <c r="H1009" s="29" t="n">
        <v>226.8</v>
      </c>
      <c r="I1009" s="29" t="n">
        <f aca="false">H1009/G1009</f>
        <v>226.8</v>
      </c>
      <c r="J1009" s="15" t="s">
        <v>253</v>
      </c>
      <c r="K1009" s="15" t="s">
        <v>254</v>
      </c>
    </row>
    <row r="1010" customFormat="false" ht="18.75" hidden="false" customHeight="true" outlineLevel="0" collapsed="false">
      <c r="A1010" s="10" t="s">
        <v>1835</v>
      </c>
      <c r="B1010" s="10" t="s">
        <v>1487</v>
      </c>
      <c r="C1010" s="10" t="s">
        <v>152</v>
      </c>
      <c r="D1010" s="10" t="s">
        <v>35</v>
      </c>
      <c r="E1010" s="10" t="s">
        <v>284</v>
      </c>
      <c r="F1010" s="11" t="n">
        <v>234</v>
      </c>
      <c r="G1010" s="11" t="n">
        <v>1</v>
      </c>
      <c r="H1010" s="26" t="n">
        <v>220.5</v>
      </c>
      <c r="I1010" s="26" t="n">
        <f aca="false">H1010/G1010</f>
        <v>220.5</v>
      </c>
      <c r="J1010" s="10" t="s">
        <v>253</v>
      </c>
      <c r="K1010" s="10" t="s">
        <v>254</v>
      </c>
    </row>
    <row r="1011" customFormat="false" ht="18.75" hidden="false" customHeight="true" outlineLevel="0" collapsed="false">
      <c r="A1011" s="15" t="s">
        <v>1836</v>
      </c>
      <c r="B1011" s="15" t="s">
        <v>1837</v>
      </c>
      <c r="C1011" s="15" t="s">
        <v>155</v>
      </c>
      <c r="D1011" s="15" t="s">
        <v>34</v>
      </c>
      <c r="E1011" s="15" t="s">
        <v>284</v>
      </c>
      <c r="F1011" s="16" t="n">
        <v>209</v>
      </c>
      <c r="G1011" s="16" t="n">
        <v>1</v>
      </c>
      <c r="H1011" s="29" t="n">
        <v>219.23</v>
      </c>
      <c r="I1011" s="29" t="n">
        <f aca="false">H1011/G1011</f>
        <v>219.23</v>
      </c>
      <c r="J1011" s="15" t="s">
        <v>253</v>
      </c>
      <c r="K1011" s="15" t="s">
        <v>254</v>
      </c>
    </row>
    <row r="1012" customFormat="false" ht="18.75" hidden="false" customHeight="true" outlineLevel="0" collapsed="false">
      <c r="A1012" s="10" t="s">
        <v>1838</v>
      </c>
      <c r="B1012" s="10" t="s">
        <v>213</v>
      </c>
      <c r="C1012" s="10" t="s">
        <v>226</v>
      </c>
      <c r="D1012" s="10" t="s">
        <v>36</v>
      </c>
      <c r="E1012" s="10" t="s">
        <v>284</v>
      </c>
      <c r="F1012" s="11" t="n">
        <v>31</v>
      </c>
      <c r="G1012" s="11" t="n">
        <v>1</v>
      </c>
      <c r="H1012" s="26" t="n">
        <v>216</v>
      </c>
      <c r="I1012" s="26" t="n">
        <f aca="false">H1012/G1012</f>
        <v>216</v>
      </c>
      <c r="J1012" s="10" t="s">
        <v>280</v>
      </c>
      <c r="K1012" s="10" t="s">
        <v>281</v>
      </c>
    </row>
    <row r="1013" customFormat="false" ht="18.75" hidden="false" customHeight="true" outlineLevel="0" collapsed="false">
      <c r="A1013" s="15" t="s">
        <v>1839</v>
      </c>
      <c r="B1013" s="15" t="s">
        <v>236</v>
      </c>
      <c r="C1013" s="15" t="s">
        <v>163</v>
      </c>
      <c r="D1013" s="15" t="s">
        <v>36</v>
      </c>
      <c r="E1013" s="15" t="s">
        <v>284</v>
      </c>
      <c r="F1013" s="16" t="n">
        <v>310</v>
      </c>
      <c r="G1013" s="16" t="n">
        <v>2</v>
      </c>
      <c r="H1013" s="29" t="n">
        <v>203.65</v>
      </c>
      <c r="I1013" s="29" t="n">
        <f aca="false">H1013/G1013</f>
        <v>101.825</v>
      </c>
      <c r="J1013" s="15" t="s">
        <v>253</v>
      </c>
      <c r="K1013" s="15" t="s">
        <v>254</v>
      </c>
    </row>
    <row r="1014" customFormat="false" ht="18.75" hidden="false" customHeight="true" outlineLevel="0" collapsed="false">
      <c r="A1014" s="10" t="s">
        <v>1840</v>
      </c>
      <c r="B1014" s="10" t="s">
        <v>1588</v>
      </c>
      <c r="C1014" s="10" t="s">
        <v>199</v>
      </c>
      <c r="D1014" s="10" t="s">
        <v>36</v>
      </c>
      <c r="E1014" s="10" t="s">
        <v>284</v>
      </c>
      <c r="F1014" s="11" t="n">
        <v>192</v>
      </c>
      <c r="G1014" s="11" t="n">
        <v>1</v>
      </c>
      <c r="H1014" s="26" t="n">
        <v>200.42</v>
      </c>
      <c r="I1014" s="26" t="n">
        <f aca="false">H1014/G1014</f>
        <v>200.42</v>
      </c>
      <c r="J1014" s="10" t="s">
        <v>253</v>
      </c>
      <c r="K1014" s="10" t="s">
        <v>254</v>
      </c>
    </row>
    <row r="1015" customFormat="false" ht="18.75" hidden="false" customHeight="true" outlineLevel="0" collapsed="false">
      <c r="A1015" s="15" t="s">
        <v>1841</v>
      </c>
      <c r="B1015" s="15" t="s">
        <v>342</v>
      </c>
      <c r="C1015" s="15" t="s">
        <v>149</v>
      </c>
      <c r="D1015" s="15" t="s">
        <v>35</v>
      </c>
      <c r="E1015" s="15" t="s">
        <v>284</v>
      </c>
      <c r="F1015" s="16" t="n">
        <v>140</v>
      </c>
      <c r="G1015" s="16" t="n">
        <v>1</v>
      </c>
      <c r="H1015" s="29" t="n">
        <v>196</v>
      </c>
      <c r="I1015" s="29" t="n">
        <f aca="false">H1015/G1015</f>
        <v>196</v>
      </c>
      <c r="J1015" s="15" t="s">
        <v>253</v>
      </c>
      <c r="K1015" s="15" t="s">
        <v>254</v>
      </c>
    </row>
    <row r="1016" customFormat="false" ht="18.75" hidden="false" customHeight="true" outlineLevel="0" collapsed="false">
      <c r="A1016" s="10" t="s">
        <v>1842</v>
      </c>
      <c r="B1016" s="10" t="s">
        <v>1583</v>
      </c>
      <c r="C1016" s="10" t="s">
        <v>219</v>
      </c>
      <c r="D1016" s="10" t="s">
        <v>35</v>
      </c>
      <c r="E1016" s="10" t="s">
        <v>284</v>
      </c>
      <c r="F1016" s="11" t="n">
        <v>1</v>
      </c>
      <c r="G1016" s="11" t="n">
        <v>2</v>
      </c>
      <c r="H1016" s="26" t="n">
        <v>196</v>
      </c>
      <c r="I1016" s="26" t="n">
        <f aca="false">H1016/G1016</f>
        <v>98</v>
      </c>
      <c r="J1016" s="10" t="s">
        <v>280</v>
      </c>
      <c r="K1016" s="10" t="s">
        <v>281</v>
      </c>
    </row>
    <row r="1017" customFormat="false" ht="18.75" hidden="false" customHeight="true" outlineLevel="0" collapsed="false">
      <c r="A1017" s="15" t="s">
        <v>1843</v>
      </c>
      <c r="B1017" s="15" t="s">
        <v>1844</v>
      </c>
      <c r="C1017" s="15" t="s">
        <v>149</v>
      </c>
      <c r="D1017" s="15" t="s">
        <v>35</v>
      </c>
      <c r="E1017" s="15" t="s">
        <v>284</v>
      </c>
      <c r="F1017" s="16" t="n">
        <v>82</v>
      </c>
      <c r="G1017" s="16" t="n">
        <v>1</v>
      </c>
      <c r="H1017" s="29" t="n">
        <v>193.5</v>
      </c>
      <c r="I1017" s="29" t="n">
        <f aca="false">H1017/G1017</f>
        <v>193.5</v>
      </c>
      <c r="J1017" s="15" t="s">
        <v>253</v>
      </c>
      <c r="K1017" s="15" t="s">
        <v>254</v>
      </c>
    </row>
    <row r="1018" customFormat="false" ht="18.75" hidden="false" customHeight="true" outlineLevel="0" collapsed="false">
      <c r="A1018" s="10" t="s">
        <v>1845</v>
      </c>
      <c r="B1018" s="10" t="s">
        <v>1846</v>
      </c>
      <c r="C1018" s="10" t="s">
        <v>160</v>
      </c>
      <c r="D1018" s="10" t="s">
        <v>36</v>
      </c>
      <c r="E1018" s="10" t="s">
        <v>284</v>
      </c>
      <c r="F1018" s="11" t="n">
        <v>337</v>
      </c>
      <c r="G1018" s="11" t="n">
        <v>1</v>
      </c>
      <c r="H1018" s="26" t="n">
        <v>190.12</v>
      </c>
      <c r="I1018" s="26" t="n">
        <f aca="false">H1018/G1018</f>
        <v>190.12</v>
      </c>
      <c r="J1018" s="10" t="s">
        <v>253</v>
      </c>
      <c r="K1018" s="10" t="s">
        <v>254</v>
      </c>
    </row>
    <row r="1019" customFormat="false" ht="18.75" hidden="false" customHeight="true" outlineLevel="0" collapsed="false">
      <c r="A1019" s="15" t="s">
        <v>1847</v>
      </c>
      <c r="B1019" s="15" t="s">
        <v>1848</v>
      </c>
      <c r="C1019" s="15" t="s">
        <v>219</v>
      </c>
      <c r="D1019" s="15" t="s">
        <v>35</v>
      </c>
      <c r="E1019" s="15" t="s">
        <v>284</v>
      </c>
      <c r="F1019" s="16" t="n">
        <v>68</v>
      </c>
      <c r="G1019" s="16" t="n">
        <v>3</v>
      </c>
      <c r="H1019" s="29" t="n">
        <v>187.15</v>
      </c>
      <c r="I1019" s="29" t="n">
        <f aca="false">H1019/G1019</f>
        <v>62.3833333333333</v>
      </c>
      <c r="J1019" s="15" t="s">
        <v>253</v>
      </c>
      <c r="K1019" s="15" t="s">
        <v>254</v>
      </c>
    </row>
    <row r="1020" customFormat="false" ht="18.75" hidden="false" customHeight="true" outlineLevel="0" collapsed="false">
      <c r="A1020" s="10" t="s">
        <v>1849</v>
      </c>
      <c r="B1020" s="10" t="s">
        <v>1850</v>
      </c>
      <c r="C1020" s="10" t="s">
        <v>184</v>
      </c>
      <c r="D1020" s="10" t="s">
        <v>34</v>
      </c>
      <c r="E1020" s="10" t="s">
        <v>384</v>
      </c>
      <c r="F1020" s="11" t="n">
        <v>313</v>
      </c>
      <c r="G1020" s="11" t="n">
        <v>1</v>
      </c>
      <c r="H1020" s="26" t="n">
        <v>185</v>
      </c>
      <c r="I1020" s="26" t="n">
        <f aca="false">H1020/G1020</f>
        <v>185</v>
      </c>
      <c r="J1020" s="10" t="s">
        <v>253</v>
      </c>
      <c r="K1020" s="10" t="s">
        <v>254</v>
      </c>
    </row>
    <row r="1021" customFormat="false" ht="18.75" hidden="false" customHeight="true" outlineLevel="0" collapsed="false">
      <c r="A1021" s="15" t="s">
        <v>1851</v>
      </c>
      <c r="B1021" s="15" t="s">
        <v>275</v>
      </c>
      <c r="C1021" s="15" t="s">
        <v>155</v>
      </c>
      <c r="D1021" s="15" t="s">
        <v>34</v>
      </c>
      <c r="E1021" s="15" t="s">
        <v>284</v>
      </c>
      <c r="F1021" s="16" t="n">
        <v>130</v>
      </c>
      <c r="G1021" s="16" t="n">
        <v>2</v>
      </c>
      <c r="H1021" s="29" t="n">
        <v>184.8</v>
      </c>
      <c r="I1021" s="29" t="n">
        <f aca="false">H1021/G1021</f>
        <v>92.4</v>
      </c>
      <c r="J1021" s="15" t="s">
        <v>253</v>
      </c>
      <c r="K1021" s="15" t="s">
        <v>254</v>
      </c>
    </row>
    <row r="1022" customFormat="false" ht="18.75" hidden="false" customHeight="true" outlineLevel="0" collapsed="false">
      <c r="A1022" s="10" t="s">
        <v>1852</v>
      </c>
      <c r="B1022" s="10" t="s">
        <v>931</v>
      </c>
      <c r="C1022" s="10" t="s">
        <v>226</v>
      </c>
      <c r="D1022" s="10" t="s">
        <v>36</v>
      </c>
      <c r="E1022" s="10" t="s">
        <v>284</v>
      </c>
      <c r="F1022" s="11" t="n">
        <v>14</v>
      </c>
      <c r="G1022" s="11" t="n">
        <v>1</v>
      </c>
      <c r="H1022" s="26" t="n">
        <v>184.5</v>
      </c>
      <c r="I1022" s="26" t="n">
        <f aca="false">H1022/G1022</f>
        <v>184.5</v>
      </c>
      <c r="J1022" s="10" t="s">
        <v>280</v>
      </c>
      <c r="K1022" s="10" t="s">
        <v>281</v>
      </c>
    </row>
    <row r="1023" customFormat="false" ht="18.75" hidden="false" customHeight="true" outlineLevel="0" collapsed="false">
      <c r="A1023" s="15" t="s">
        <v>1853</v>
      </c>
      <c r="B1023" s="15" t="s">
        <v>1854</v>
      </c>
      <c r="C1023" s="15" t="s">
        <v>199</v>
      </c>
      <c r="D1023" s="15" t="s">
        <v>36</v>
      </c>
      <c r="E1023" s="15" t="s">
        <v>284</v>
      </c>
      <c r="F1023" s="16" t="n">
        <v>72</v>
      </c>
      <c r="G1023" s="16" t="n">
        <v>2</v>
      </c>
      <c r="H1023" s="29" t="n">
        <v>180.15</v>
      </c>
      <c r="I1023" s="29" t="n">
        <f aca="false">H1023/G1023</f>
        <v>90.075</v>
      </c>
      <c r="J1023" s="15" t="s">
        <v>253</v>
      </c>
      <c r="K1023" s="15" t="s">
        <v>254</v>
      </c>
    </row>
    <row r="1024" customFormat="false" ht="18.75" hidden="false" customHeight="true" outlineLevel="0" collapsed="false">
      <c r="A1024" s="10" t="s">
        <v>1855</v>
      </c>
      <c r="B1024" s="10" t="s">
        <v>1856</v>
      </c>
      <c r="C1024" s="10" t="s">
        <v>226</v>
      </c>
      <c r="D1024" s="10" t="s">
        <v>36</v>
      </c>
      <c r="E1024" s="10" t="s">
        <v>284</v>
      </c>
      <c r="F1024" s="11" t="n">
        <v>346</v>
      </c>
      <c r="G1024" s="11" t="n">
        <v>1</v>
      </c>
      <c r="H1024" s="26" t="n">
        <v>175.78</v>
      </c>
      <c r="I1024" s="26" t="n">
        <f aca="false">H1024/G1024</f>
        <v>175.78</v>
      </c>
      <c r="J1024" s="10" t="s">
        <v>253</v>
      </c>
      <c r="K1024" s="10" t="s">
        <v>254</v>
      </c>
    </row>
    <row r="1025" customFormat="false" ht="18.75" hidden="false" customHeight="true" outlineLevel="0" collapsed="false">
      <c r="A1025" s="15" t="s">
        <v>1857</v>
      </c>
      <c r="B1025" s="15" t="s">
        <v>1050</v>
      </c>
      <c r="C1025" s="15" t="s">
        <v>199</v>
      </c>
      <c r="D1025" s="15" t="s">
        <v>36</v>
      </c>
      <c r="E1025" s="15" t="s">
        <v>384</v>
      </c>
      <c r="F1025" s="16" t="n">
        <v>31</v>
      </c>
      <c r="G1025" s="16" t="n">
        <v>3</v>
      </c>
      <c r="H1025" s="29" t="n">
        <v>171.62</v>
      </c>
      <c r="I1025" s="29" t="n">
        <f aca="false">H1025/G1025</f>
        <v>57.2066666666667</v>
      </c>
      <c r="J1025" s="15" t="s">
        <v>280</v>
      </c>
      <c r="K1025" s="15" t="s">
        <v>281</v>
      </c>
    </row>
    <row r="1026" customFormat="false" ht="18.75" hidden="false" customHeight="true" outlineLevel="0" collapsed="false">
      <c r="A1026" s="10" t="s">
        <v>1858</v>
      </c>
      <c r="B1026" s="10" t="s">
        <v>1859</v>
      </c>
      <c r="C1026" s="10" t="s">
        <v>226</v>
      </c>
      <c r="D1026" s="10" t="s">
        <v>36</v>
      </c>
      <c r="E1026" s="10" t="s">
        <v>284</v>
      </c>
      <c r="F1026" s="11" t="n">
        <v>178</v>
      </c>
      <c r="G1026" s="11" t="n">
        <v>2</v>
      </c>
      <c r="H1026" s="26" t="n">
        <v>169.64</v>
      </c>
      <c r="I1026" s="26" t="n">
        <f aca="false">H1026/G1026</f>
        <v>84.82</v>
      </c>
      <c r="J1026" s="10" t="s">
        <v>253</v>
      </c>
      <c r="K1026" s="10" t="s">
        <v>254</v>
      </c>
    </row>
    <row r="1027" customFormat="false" ht="18.75" hidden="false" customHeight="true" outlineLevel="0" collapsed="false">
      <c r="A1027" s="15" t="s">
        <v>1860</v>
      </c>
      <c r="B1027" s="15" t="s">
        <v>983</v>
      </c>
      <c r="C1027" s="15" t="s">
        <v>207</v>
      </c>
      <c r="D1027" s="15" t="s">
        <v>35</v>
      </c>
      <c r="E1027" s="15" t="s">
        <v>284</v>
      </c>
      <c r="F1027" s="16" t="n">
        <v>286</v>
      </c>
      <c r="G1027" s="16" t="n">
        <v>1</v>
      </c>
      <c r="H1027" s="29" t="n">
        <v>159.3</v>
      </c>
      <c r="I1027" s="29" t="n">
        <f aca="false">H1027/G1027</f>
        <v>159.3</v>
      </c>
      <c r="J1027" s="15" t="s">
        <v>253</v>
      </c>
      <c r="K1027" s="15" t="s">
        <v>254</v>
      </c>
    </row>
    <row r="1028" customFormat="false" ht="18.75" hidden="false" customHeight="true" outlineLevel="0" collapsed="false">
      <c r="A1028" s="10" t="s">
        <v>1861</v>
      </c>
      <c r="B1028" s="10" t="s">
        <v>1862</v>
      </c>
      <c r="C1028" s="10" t="s">
        <v>199</v>
      </c>
      <c r="D1028" s="10" t="s">
        <v>36</v>
      </c>
      <c r="E1028" s="10" t="s">
        <v>284</v>
      </c>
      <c r="F1028" s="11" t="n">
        <v>84</v>
      </c>
      <c r="G1028" s="11" t="n">
        <v>1</v>
      </c>
      <c r="H1028" s="26" t="n">
        <v>145.5</v>
      </c>
      <c r="I1028" s="26" t="n">
        <f aca="false">H1028/G1028</f>
        <v>145.5</v>
      </c>
      <c r="J1028" s="10" t="s">
        <v>253</v>
      </c>
      <c r="K1028" s="10" t="s">
        <v>254</v>
      </c>
    </row>
    <row r="1029" customFormat="false" ht="18.75" hidden="false" customHeight="true" outlineLevel="0" collapsed="false">
      <c r="A1029" s="15" t="s">
        <v>1863</v>
      </c>
      <c r="B1029" s="15" t="s">
        <v>1152</v>
      </c>
      <c r="C1029" s="15" t="s">
        <v>160</v>
      </c>
      <c r="D1029" s="15" t="s">
        <v>36</v>
      </c>
      <c r="E1029" s="15" t="s">
        <v>284</v>
      </c>
      <c r="F1029" s="16" t="n">
        <v>194</v>
      </c>
      <c r="G1029" s="16" t="n">
        <v>1</v>
      </c>
      <c r="H1029" s="29" t="n">
        <v>145</v>
      </c>
      <c r="I1029" s="29" t="n">
        <f aca="false">H1029/G1029</f>
        <v>145</v>
      </c>
      <c r="J1029" s="15" t="s">
        <v>253</v>
      </c>
      <c r="K1029" s="15" t="s">
        <v>254</v>
      </c>
    </row>
    <row r="1030" customFormat="false" ht="18.75" hidden="false" customHeight="true" outlineLevel="0" collapsed="false">
      <c r="A1030" s="10" t="s">
        <v>1864</v>
      </c>
      <c r="B1030" s="10" t="s">
        <v>1865</v>
      </c>
      <c r="C1030" s="10" t="s">
        <v>163</v>
      </c>
      <c r="D1030" s="10" t="s">
        <v>36</v>
      </c>
      <c r="E1030" s="10" t="s">
        <v>284</v>
      </c>
      <c r="F1030" s="11" t="n">
        <v>295</v>
      </c>
      <c r="G1030" s="11" t="n">
        <v>1</v>
      </c>
      <c r="H1030" s="26" t="n">
        <v>140.65</v>
      </c>
      <c r="I1030" s="26" t="n">
        <f aca="false">H1030/G1030</f>
        <v>140.65</v>
      </c>
      <c r="J1030" s="10" t="s">
        <v>253</v>
      </c>
      <c r="K1030" s="10" t="s">
        <v>254</v>
      </c>
    </row>
    <row r="1031" customFormat="false" ht="18.75" hidden="false" customHeight="true" outlineLevel="0" collapsed="false">
      <c r="A1031" s="15" t="s">
        <v>1866</v>
      </c>
      <c r="B1031" s="15" t="s">
        <v>804</v>
      </c>
      <c r="C1031" s="15" t="s">
        <v>166</v>
      </c>
      <c r="D1031" s="15" t="s">
        <v>35</v>
      </c>
      <c r="E1031" s="15" t="s">
        <v>284</v>
      </c>
      <c r="F1031" s="16" t="n">
        <v>137</v>
      </c>
      <c r="G1031" s="16" t="n">
        <v>1</v>
      </c>
      <c r="H1031" s="29" t="n">
        <v>140.65</v>
      </c>
      <c r="I1031" s="29" t="n">
        <f aca="false">H1031/G1031</f>
        <v>140.65</v>
      </c>
      <c r="J1031" s="15" t="s">
        <v>253</v>
      </c>
      <c r="K1031" s="15" t="s">
        <v>254</v>
      </c>
    </row>
    <row r="1032" customFormat="false" ht="18.75" hidden="false" customHeight="true" outlineLevel="0" collapsed="false">
      <c r="A1032" s="10" t="s">
        <v>1867</v>
      </c>
      <c r="B1032" s="10" t="s">
        <v>585</v>
      </c>
      <c r="C1032" s="10" t="s">
        <v>184</v>
      </c>
      <c r="D1032" s="10" t="s">
        <v>34</v>
      </c>
      <c r="E1032" s="10" t="s">
        <v>284</v>
      </c>
      <c r="F1032" s="11" t="n">
        <v>153</v>
      </c>
      <c r="G1032" s="11" t="n">
        <v>1</v>
      </c>
      <c r="H1032" s="26" t="n">
        <v>137.74</v>
      </c>
      <c r="I1032" s="26" t="n">
        <f aca="false">H1032/G1032</f>
        <v>137.74</v>
      </c>
      <c r="J1032" s="10" t="s">
        <v>253</v>
      </c>
      <c r="K1032" s="10" t="s">
        <v>254</v>
      </c>
    </row>
    <row r="1033" customFormat="false" ht="18.75" hidden="false" customHeight="true" outlineLevel="0" collapsed="false">
      <c r="A1033" s="15" t="s">
        <v>1868</v>
      </c>
      <c r="B1033" s="15" t="s">
        <v>787</v>
      </c>
      <c r="C1033" s="15" t="s">
        <v>216</v>
      </c>
      <c r="D1033" s="15" t="s">
        <v>34</v>
      </c>
      <c r="E1033" s="15" t="s">
        <v>284</v>
      </c>
      <c r="F1033" s="16" t="n">
        <v>116</v>
      </c>
      <c r="G1033" s="16" t="n">
        <v>1</v>
      </c>
      <c r="H1033" s="29" t="n">
        <v>135</v>
      </c>
      <c r="I1033" s="29" t="n">
        <f aca="false">H1033/G1033</f>
        <v>135</v>
      </c>
      <c r="J1033" s="15" t="s">
        <v>253</v>
      </c>
      <c r="K1033" s="15" t="s">
        <v>254</v>
      </c>
    </row>
    <row r="1034" customFormat="false" ht="18.75" hidden="false" customHeight="true" outlineLevel="0" collapsed="false">
      <c r="A1034" s="10" t="s">
        <v>1869</v>
      </c>
      <c r="B1034" s="10" t="s">
        <v>290</v>
      </c>
      <c r="C1034" s="10" t="s">
        <v>207</v>
      </c>
      <c r="D1034" s="10" t="s">
        <v>35</v>
      </c>
      <c r="E1034" s="10" t="s">
        <v>284</v>
      </c>
      <c r="F1034" s="11" t="n">
        <v>13</v>
      </c>
      <c r="G1034" s="11" t="n">
        <v>1</v>
      </c>
      <c r="H1034" s="26" t="n">
        <v>129.92</v>
      </c>
      <c r="I1034" s="26" t="n">
        <f aca="false">H1034/G1034</f>
        <v>129.92</v>
      </c>
      <c r="J1034" s="10" t="s">
        <v>280</v>
      </c>
      <c r="K1034" s="10" t="s">
        <v>281</v>
      </c>
    </row>
    <row r="1035" customFormat="false" ht="18.75" hidden="false" customHeight="true" outlineLevel="0" collapsed="false">
      <c r="A1035" s="15" t="s">
        <v>1870</v>
      </c>
      <c r="B1035" s="15" t="s">
        <v>1871</v>
      </c>
      <c r="C1035" s="15" t="s">
        <v>181</v>
      </c>
      <c r="D1035" s="15" t="s">
        <v>36</v>
      </c>
      <c r="E1035" s="15" t="s">
        <v>284</v>
      </c>
      <c r="F1035" s="16" t="n">
        <v>92</v>
      </c>
      <c r="G1035" s="16" t="n">
        <v>1</v>
      </c>
      <c r="H1035" s="29" t="n">
        <v>123.5</v>
      </c>
      <c r="I1035" s="29" t="n">
        <f aca="false">H1035/G1035</f>
        <v>123.5</v>
      </c>
      <c r="J1035" s="15" t="s">
        <v>253</v>
      </c>
      <c r="K1035" s="15" t="s">
        <v>254</v>
      </c>
    </row>
    <row r="1036" customFormat="false" ht="18.75" hidden="false" customHeight="true" outlineLevel="0" collapsed="false">
      <c r="A1036" s="10" t="s">
        <v>1872</v>
      </c>
      <c r="B1036" s="10" t="s">
        <v>1873</v>
      </c>
      <c r="C1036" s="10" t="s">
        <v>184</v>
      </c>
      <c r="D1036" s="10" t="s">
        <v>34</v>
      </c>
      <c r="E1036" s="10" t="s">
        <v>284</v>
      </c>
      <c r="F1036" s="11" t="n">
        <v>114</v>
      </c>
      <c r="G1036" s="11" t="n">
        <v>1</v>
      </c>
      <c r="H1036" s="26" t="n">
        <v>117</v>
      </c>
      <c r="I1036" s="26" t="n">
        <f aca="false">H1036/G1036</f>
        <v>117</v>
      </c>
      <c r="J1036" s="10" t="s">
        <v>253</v>
      </c>
      <c r="K1036" s="10" t="s">
        <v>254</v>
      </c>
    </row>
    <row r="1037" customFormat="false" ht="18.75" hidden="false" customHeight="true" outlineLevel="0" collapsed="false">
      <c r="A1037" s="15" t="s">
        <v>1874</v>
      </c>
      <c r="B1037" s="15" t="s">
        <v>1875</v>
      </c>
      <c r="C1037" s="15" t="s">
        <v>216</v>
      </c>
      <c r="D1037" s="15" t="s">
        <v>34</v>
      </c>
      <c r="E1037" s="15" t="s">
        <v>284</v>
      </c>
      <c r="F1037" s="16" t="n">
        <v>66</v>
      </c>
      <c r="G1037" s="16" t="n">
        <v>1</v>
      </c>
      <c r="H1037" s="29" t="n">
        <v>111.45</v>
      </c>
      <c r="I1037" s="29" t="n">
        <f aca="false">H1037/G1037</f>
        <v>111.45</v>
      </c>
      <c r="J1037" s="15" t="s">
        <v>253</v>
      </c>
      <c r="K1037" s="15" t="s">
        <v>254</v>
      </c>
    </row>
    <row r="1038" customFormat="false" ht="18.75" hidden="false" customHeight="true" outlineLevel="0" collapsed="false">
      <c r="A1038" s="10" t="s">
        <v>1876</v>
      </c>
      <c r="B1038" s="10" t="s">
        <v>1877</v>
      </c>
      <c r="C1038" s="10" t="s">
        <v>146</v>
      </c>
      <c r="D1038" s="10" t="s">
        <v>34</v>
      </c>
      <c r="E1038" s="10" t="s">
        <v>284</v>
      </c>
      <c r="F1038" s="11" t="n">
        <v>312</v>
      </c>
      <c r="G1038" s="11" t="n">
        <v>1</v>
      </c>
      <c r="H1038" s="26" t="n">
        <v>108.3</v>
      </c>
      <c r="I1038" s="26" t="n">
        <f aca="false">H1038/G1038</f>
        <v>108.3</v>
      </c>
      <c r="J1038" s="10" t="s">
        <v>253</v>
      </c>
      <c r="K1038" s="10" t="s">
        <v>254</v>
      </c>
    </row>
    <row r="1039" customFormat="false" ht="18.75" hidden="false" customHeight="true" outlineLevel="0" collapsed="false">
      <c r="A1039" s="15" t="s">
        <v>1878</v>
      </c>
      <c r="B1039" s="15" t="s">
        <v>768</v>
      </c>
      <c r="C1039" s="15" t="s">
        <v>149</v>
      </c>
      <c r="D1039" s="15" t="s">
        <v>35</v>
      </c>
      <c r="E1039" s="15" t="s">
        <v>284</v>
      </c>
      <c r="F1039" s="16" t="n">
        <v>177</v>
      </c>
      <c r="G1039" s="16" t="n">
        <v>1</v>
      </c>
      <c r="H1039" s="29" t="n">
        <v>108</v>
      </c>
      <c r="I1039" s="29" t="n">
        <f aca="false">H1039/G1039</f>
        <v>108</v>
      </c>
      <c r="J1039" s="15" t="s">
        <v>253</v>
      </c>
      <c r="K1039" s="15" t="s">
        <v>254</v>
      </c>
    </row>
    <row r="1040" customFormat="false" ht="18.75" hidden="false" customHeight="true" outlineLevel="0" collapsed="false">
      <c r="A1040" s="10" t="s">
        <v>1879</v>
      </c>
      <c r="B1040" s="10" t="s">
        <v>1195</v>
      </c>
      <c r="C1040" s="10" t="s">
        <v>184</v>
      </c>
      <c r="D1040" s="10" t="s">
        <v>34</v>
      </c>
      <c r="E1040" s="10" t="s">
        <v>284</v>
      </c>
      <c r="F1040" s="11" t="n">
        <v>165</v>
      </c>
      <c r="G1040" s="11" t="n">
        <v>1</v>
      </c>
      <c r="H1040" s="26" t="n">
        <v>93.1</v>
      </c>
      <c r="I1040" s="26" t="n">
        <f aca="false">H1040/G1040</f>
        <v>93.1</v>
      </c>
      <c r="J1040" s="10" t="s">
        <v>253</v>
      </c>
      <c r="K1040" s="10" t="s">
        <v>254</v>
      </c>
    </row>
    <row r="1041" customFormat="false" ht="18.75" hidden="false" customHeight="true" outlineLevel="0" collapsed="false">
      <c r="A1041" s="15" t="s">
        <v>1880</v>
      </c>
      <c r="B1041" s="15" t="s">
        <v>1803</v>
      </c>
      <c r="C1041" s="15" t="s">
        <v>216</v>
      </c>
      <c r="D1041" s="15" t="s">
        <v>34</v>
      </c>
      <c r="E1041" s="15" t="s">
        <v>284</v>
      </c>
      <c r="F1041" s="16" t="n">
        <v>223</v>
      </c>
      <c r="G1041" s="16" t="n">
        <v>1</v>
      </c>
      <c r="H1041" s="29" t="n">
        <v>88.2</v>
      </c>
      <c r="I1041" s="29" t="n">
        <f aca="false">H1041/G1041</f>
        <v>88.2</v>
      </c>
      <c r="J1041" s="15" t="s">
        <v>253</v>
      </c>
      <c r="K1041" s="15" t="s">
        <v>254</v>
      </c>
    </row>
    <row r="1042" customFormat="false" ht="18.75" hidden="false" customHeight="true" outlineLevel="0" collapsed="false">
      <c r="A1042" s="10" t="s">
        <v>1881</v>
      </c>
      <c r="B1042" s="10" t="s">
        <v>770</v>
      </c>
      <c r="C1042" s="10" t="s">
        <v>152</v>
      </c>
      <c r="D1042" s="10" t="s">
        <v>35</v>
      </c>
      <c r="E1042" s="10" t="s">
        <v>284</v>
      </c>
      <c r="F1042" s="11" t="n">
        <v>284</v>
      </c>
      <c r="G1042" s="11" t="n">
        <v>1</v>
      </c>
      <c r="H1042" s="26" t="n">
        <v>80.48</v>
      </c>
      <c r="I1042" s="26" t="n">
        <f aca="false">H1042/G1042</f>
        <v>80.48</v>
      </c>
      <c r="J1042" s="10" t="s">
        <v>253</v>
      </c>
      <c r="K1042" s="10" t="s">
        <v>254</v>
      </c>
    </row>
    <row r="1043" customFormat="false" ht="18.75" hidden="false" customHeight="true" outlineLevel="0" collapsed="false">
      <c r="A1043" s="15" t="s">
        <v>1882</v>
      </c>
      <c r="B1043" s="15" t="s">
        <v>213</v>
      </c>
      <c r="C1043" s="15" t="s">
        <v>181</v>
      </c>
      <c r="D1043" s="15" t="s">
        <v>36</v>
      </c>
      <c r="E1043" s="15" t="s">
        <v>284</v>
      </c>
      <c r="F1043" s="16" t="n">
        <v>230</v>
      </c>
      <c r="G1043" s="16" t="n">
        <v>1</v>
      </c>
      <c r="H1043" s="29" t="n">
        <v>76</v>
      </c>
      <c r="I1043" s="29" t="n">
        <f aca="false">H1043/G1043</f>
        <v>76</v>
      </c>
      <c r="J1043" s="15" t="s">
        <v>253</v>
      </c>
      <c r="K1043" s="15" t="s">
        <v>254</v>
      </c>
    </row>
    <row r="1044" customFormat="false" ht="18.75" hidden="false" customHeight="true" outlineLevel="0" collapsed="false">
      <c r="A1044" s="10" t="s">
        <v>1883</v>
      </c>
      <c r="B1044" s="10" t="s">
        <v>1884</v>
      </c>
      <c r="C1044" s="10" t="s">
        <v>149</v>
      </c>
      <c r="D1044" s="10" t="s">
        <v>35</v>
      </c>
      <c r="E1044" s="10" t="s">
        <v>284</v>
      </c>
      <c r="F1044" s="11" t="n">
        <v>151</v>
      </c>
      <c r="G1044" s="11" t="n">
        <v>1</v>
      </c>
      <c r="H1044" s="26" t="n">
        <v>74</v>
      </c>
      <c r="I1044" s="26" t="n">
        <f aca="false">H1044/G1044</f>
        <v>74</v>
      </c>
      <c r="J1044" s="10" t="s">
        <v>253</v>
      </c>
      <c r="K1044" s="10" t="s">
        <v>254</v>
      </c>
    </row>
    <row r="1045" customFormat="false" ht="18.75" hidden="false" customHeight="true" outlineLevel="0" collapsed="false">
      <c r="A1045" s="15" t="s">
        <v>1885</v>
      </c>
      <c r="B1045" s="15" t="s">
        <v>1886</v>
      </c>
      <c r="C1045" s="15" t="s">
        <v>163</v>
      </c>
      <c r="D1045" s="15" t="s">
        <v>36</v>
      </c>
      <c r="E1045" s="15" t="s">
        <v>284</v>
      </c>
      <c r="F1045" s="16" t="n">
        <v>49</v>
      </c>
      <c r="G1045" s="16" t="n">
        <v>1</v>
      </c>
      <c r="H1045" s="29" t="n">
        <v>72.5</v>
      </c>
      <c r="I1045" s="29" t="n">
        <f aca="false">H1045/G1045</f>
        <v>72.5</v>
      </c>
      <c r="J1045" s="15" t="s">
        <v>253</v>
      </c>
      <c r="K1045" s="15" t="s">
        <v>254</v>
      </c>
    </row>
    <row r="1046" customFormat="false" ht="18.75" hidden="false" customHeight="true" outlineLevel="0" collapsed="false">
      <c r="A1046" s="10" t="s">
        <v>1887</v>
      </c>
      <c r="B1046" s="10" t="s">
        <v>490</v>
      </c>
      <c r="C1046" s="10" t="s">
        <v>207</v>
      </c>
      <c r="D1046" s="10" t="s">
        <v>35</v>
      </c>
      <c r="E1046" s="10" t="s">
        <v>284</v>
      </c>
      <c r="F1046" s="11" t="n">
        <v>229</v>
      </c>
      <c r="G1046" s="11" t="n">
        <v>1</v>
      </c>
      <c r="H1046" s="26" t="n">
        <v>66.82</v>
      </c>
      <c r="I1046" s="26" t="n">
        <f aca="false">H1046/G1046</f>
        <v>66.82</v>
      </c>
      <c r="J1046" s="10" t="s">
        <v>253</v>
      </c>
      <c r="K1046" s="10" t="s">
        <v>254</v>
      </c>
    </row>
    <row r="1047" customFormat="false" ht="18.75" hidden="false" customHeight="true" outlineLevel="0" collapsed="false">
      <c r="A1047" s="15" t="s">
        <v>1888</v>
      </c>
      <c r="B1047" s="15" t="s">
        <v>296</v>
      </c>
      <c r="C1047" s="15" t="s">
        <v>166</v>
      </c>
      <c r="D1047" s="15" t="s">
        <v>35</v>
      </c>
      <c r="E1047" s="15" t="s">
        <v>284</v>
      </c>
      <c r="F1047" s="16" t="n">
        <v>280</v>
      </c>
      <c r="G1047" s="16" t="n">
        <v>1</v>
      </c>
      <c r="H1047" s="29" t="n">
        <v>60.14</v>
      </c>
      <c r="I1047" s="29" t="n">
        <f aca="false">H1047/G1047</f>
        <v>60.14</v>
      </c>
      <c r="J1047" s="15" t="s">
        <v>253</v>
      </c>
      <c r="K1047" s="15" t="s">
        <v>254</v>
      </c>
    </row>
    <row r="1048" customFormat="false" ht="18.75" hidden="false" customHeight="true" outlineLevel="0" collapsed="false">
      <c r="A1048" s="10" t="s">
        <v>1889</v>
      </c>
      <c r="B1048" s="10" t="s">
        <v>629</v>
      </c>
      <c r="C1048" s="10" t="s">
        <v>219</v>
      </c>
      <c r="D1048" s="10" t="s">
        <v>35</v>
      </c>
      <c r="E1048" s="10" t="s">
        <v>284</v>
      </c>
      <c r="F1048" s="11" t="n">
        <v>130</v>
      </c>
      <c r="G1048" s="11" t="n">
        <v>1</v>
      </c>
      <c r="H1048" s="26" t="n">
        <v>55.8</v>
      </c>
      <c r="I1048" s="26" t="n">
        <f aca="false">H1048/G1048</f>
        <v>55.8</v>
      </c>
      <c r="J1048" s="10" t="s">
        <v>253</v>
      </c>
      <c r="K1048" s="10" t="s">
        <v>254</v>
      </c>
    </row>
    <row r="1049" customFormat="false" ht="18.75" hidden="false" customHeight="true" outlineLevel="0" collapsed="false">
      <c r="A1049" s="15" t="s">
        <v>1890</v>
      </c>
      <c r="B1049" s="15" t="s">
        <v>444</v>
      </c>
      <c r="C1049" s="15" t="s">
        <v>152</v>
      </c>
      <c r="D1049" s="15" t="s">
        <v>35</v>
      </c>
      <c r="E1049" s="15" t="s">
        <v>284</v>
      </c>
      <c r="F1049" s="16" t="n">
        <v>20</v>
      </c>
      <c r="G1049" s="16" t="n">
        <v>1</v>
      </c>
      <c r="H1049" s="29" t="n">
        <v>55.29</v>
      </c>
      <c r="I1049" s="29" t="n">
        <f aca="false">H1049/G1049</f>
        <v>55.29</v>
      </c>
      <c r="J1049" s="15" t="s">
        <v>280</v>
      </c>
      <c r="K1049" s="15" t="s">
        <v>281</v>
      </c>
    </row>
    <row r="1050" customFormat="false" ht="18.75" hidden="false" customHeight="true" outlineLevel="0" collapsed="false">
      <c r="A1050" s="10" t="s">
        <v>1891</v>
      </c>
      <c r="B1050" s="10" t="s">
        <v>1680</v>
      </c>
      <c r="C1050" s="10" t="s">
        <v>216</v>
      </c>
      <c r="D1050" s="10" t="s">
        <v>34</v>
      </c>
      <c r="E1050" s="10" t="s">
        <v>284</v>
      </c>
      <c r="F1050" s="11" t="n">
        <v>87</v>
      </c>
      <c r="G1050" s="11" t="n">
        <v>1</v>
      </c>
      <c r="H1050" s="26" t="n">
        <v>49.5</v>
      </c>
      <c r="I1050" s="26" t="n">
        <f aca="false">H1050/G1050</f>
        <v>49.5</v>
      </c>
      <c r="J1050" s="10" t="s">
        <v>253</v>
      </c>
      <c r="K1050" s="10" t="s">
        <v>254</v>
      </c>
    </row>
    <row r="1051" customFormat="false" ht="18.75" hidden="false" customHeight="true" outlineLevel="0" collapsed="false">
      <c r="A1051" s="15" t="s">
        <v>1892</v>
      </c>
      <c r="B1051" s="15" t="s">
        <v>1893</v>
      </c>
      <c r="C1051" s="15" t="s">
        <v>181</v>
      </c>
      <c r="D1051" s="15" t="s">
        <v>36</v>
      </c>
      <c r="E1051" s="15" t="s">
        <v>284</v>
      </c>
      <c r="F1051" s="16" t="n">
        <v>303</v>
      </c>
      <c r="G1051" s="16" t="n">
        <v>1</v>
      </c>
      <c r="H1051" s="29" t="n">
        <v>45</v>
      </c>
      <c r="I1051" s="29" t="n">
        <f aca="false">H1051/G1051</f>
        <v>45</v>
      </c>
      <c r="J1051" s="15" t="s">
        <v>253</v>
      </c>
      <c r="K1051" s="15" t="s">
        <v>254</v>
      </c>
    </row>
    <row r="1052" customFormat="false" ht="18.75" hidden="false" customHeight="true" outlineLevel="0" collapsed="false">
      <c r="A1052" s="10" t="s">
        <v>1894</v>
      </c>
      <c r="B1052" s="10" t="s">
        <v>1092</v>
      </c>
      <c r="C1052" s="10" t="s">
        <v>226</v>
      </c>
      <c r="D1052" s="10" t="s">
        <v>36</v>
      </c>
      <c r="E1052" s="10" t="s">
        <v>284</v>
      </c>
      <c r="F1052" s="11" t="n">
        <v>253</v>
      </c>
      <c r="G1052" s="11" t="n">
        <v>1</v>
      </c>
      <c r="H1052" s="26" t="n">
        <v>43.64</v>
      </c>
      <c r="I1052" s="26" t="n">
        <f aca="false">H1052/G1052</f>
        <v>43.64</v>
      </c>
      <c r="J1052" s="10" t="s">
        <v>253</v>
      </c>
      <c r="K1052" s="10" t="s">
        <v>254</v>
      </c>
    </row>
    <row r="1053" customFormat="false" ht="18.75" hidden="false" customHeight="true" outlineLevel="0" collapsed="false">
      <c r="A1053" s="15" t="s">
        <v>1895</v>
      </c>
      <c r="B1053" s="15" t="s">
        <v>831</v>
      </c>
      <c r="C1053" s="15" t="s">
        <v>219</v>
      </c>
      <c r="D1053" s="15" t="s">
        <v>35</v>
      </c>
      <c r="E1053" s="15" t="s">
        <v>284</v>
      </c>
      <c r="F1053" s="16" t="n">
        <v>228</v>
      </c>
      <c r="G1053" s="16" t="n">
        <v>1</v>
      </c>
      <c r="H1053" s="29" t="n">
        <v>34.2</v>
      </c>
      <c r="I1053" s="29" t="n">
        <f aca="false">H1053/G1053</f>
        <v>34.2</v>
      </c>
      <c r="J1053" s="15" t="s">
        <v>253</v>
      </c>
      <c r="K1053" s="15" t="s">
        <v>254</v>
      </c>
    </row>
    <row r="1054" customFormat="false" ht="18.75" hidden="false" customHeight="true" outlineLevel="0" collapsed="false">
      <c r="A1054" s="10" t="s">
        <v>1896</v>
      </c>
      <c r="B1054" s="10" t="s">
        <v>700</v>
      </c>
      <c r="C1054" s="10" t="s">
        <v>166</v>
      </c>
      <c r="D1054" s="10" t="s">
        <v>35</v>
      </c>
      <c r="E1054" s="10" t="s">
        <v>284</v>
      </c>
      <c r="F1054" s="11" t="n">
        <v>66</v>
      </c>
      <c r="G1054" s="11" t="n">
        <v>1</v>
      </c>
      <c r="H1054" s="26" t="n">
        <v>22.8</v>
      </c>
      <c r="I1054" s="26" t="n">
        <f aca="false">H1054/G1054</f>
        <v>22.8</v>
      </c>
      <c r="J1054" s="10" t="s">
        <v>253</v>
      </c>
      <c r="K1054" s="10" t="s">
        <v>254</v>
      </c>
    </row>
    <row r="1055" customFormat="false" ht="18.75" hidden="false" customHeight="true" outlineLevel="0" collapsed="false">
      <c r="A1055" s="15" t="s">
        <v>1897</v>
      </c>
      <c r="B1055" s="15" t="s">
        <v>583</v>
      </c>
      <c r="C1055" s="15" t="s">
        <v>207</v>
      </c>
      <c r="D1055" s="15" t="s">
        <v>35</v>
      </c>
      <c r="E1055" s="15" t="s">
        <v>284</v>
      </c>
      <c r="F1055" s="16" t="n">
        <v>186</v>
      </c>
      <c r="G1055" s="16" t="n">
        <v>1</v>
      </c>
      <c r="H1055" s="29" t="n">
        <v>20.25</v>
      </c>
      <c r="I1055" s="29" t="n">
        <f aca="false">H1055/G1055</f>
        <v>20.25</v>
      </c>
      <c r="J1055" s="15" t="s">
        <v>253</v>
      </c>
      <c r="K1055" s="15" t="s">
        <v>254</v>
      </c>
    </row>
    <row r="1056" customFormat="false" ht="18.75" hidden="false" customHeight="true" outlineLevel="0" collapsed="false">
      <c r="A1056" s="10" t="s">
        <v>1898</v>
      </c>
      <c r="B1056" s="10" t="s">
        <v>1899</v>
      </c>
      <c r="C1056" s="10" t="s">
        <v>199</v>
      </c>
      <c r="D1056" s="10" t="s">
        <v>36</v>
      </c>
      <c r="E1056" s="10" t="s">
        <v>284</v>
      </c>
      <c r="F1056" s="11" t="n">
        <v>197</v>
      </c>
      <c r="G1056" s="11" t="n">
        <v>1</v>
      </c>
      <c r="H1056" s="26" t="n">
        <v>18</v>
      </c>
      <c r="I1056" s="26" t="n">
        <f aca="false">H1056/G1056</f>
        <v>18</v>
      </c>
      <c r="J1056" s="10" t="s">
        <v>253</v>
      </c>
      <c r="K1056" s="10" t="s">
        <v>254</v>
      </c>
    </row>
    <row r="1057" customFormat="false" ht="18.75" hidden="false" customHeight="true" outlineLevel="0" collapsed="false">
      <c r="A1057" s="15" t="s">
        <v>1900</v>
      </c>
      <c r="B1057" s="15" t="s">
        <v>400</v>
      </c>
      <c r="C1057" s="15" t="s">
        <v>184</v>
      </c>
      <c r="D1057" s="15" t="s">
        <v>34</v>
      </c>
      <c r="E1057" s="15" t="s">
        <v>284</v>
      </c>
      <c r="F1057" s="16" t="n">
        <v>51</v>
      </c>
      <c r="G1057" s="16" t="n">
        <v>1</v>
      </c>
      <c r="H1057" s="29" t="n">
        <v>18</v>
      </c>
      <c r="I1057" s="29" t="n">
        <f aca="false">H1057/G1057</f>
        <v>18</v>
      </c>
      <c r="J1057" s="15" t="s">
        <v>253</v>
      </c>
      <c r="K1057" s="15" t="s">
        <v>254</v>
      </c>
    </row>
    <row r="1058" customFormat="false" ht="18.75" hidden="false" customHeight="true" outlineLevel="0" collapsed="false">
      <c r="A1058" s="10" t="s">
        <v>1901</v>
      </c>
      <c r="B1058" s="10" t="s">
        <v>989</v>
      </c>
      <c r="C1058" s="10" t="s">
        <v>140</v>
      </c>
      <c r="D1058" s="10" t="s">
        <v>35</v>
      </c>
      <c r="E1058" s="10" t="s">
        <v>284</v>
      </c>
      <c r="F1058" s="11" t="n">
        <v>124</v>
      </c>
      <c r="G1058" s="11" t="n">
        <v>1</v>
      </c>
      <c r="H1058" s="26" t="n">
        <v>17.46</v>
      </c>
      <c r="I1058" s="26" t="n">
        <f aca="false">H1058/G1058</f>
        <v>17.46</v>
      </c>
      <c r="J1058" s="10" t="s">
        <v>253</v>
      </c>
      <c r="K1058" s="10" t="s">
        <v>254</v>
      </c>
    </row>
    <row r="1059" customFormat="false" ht="18.75" hidden="false" customHeight="true" outlineLevel="0" collapsed="false">
      <c r="A1059" s="15" t="s">
        <v>1902</v>
      </c>
      <c r="B1059" s="15" t="s">
        <v>1903</v>
      </c>
      <c r="C1059" s="15" t="s">
        <v>155</v>
      </c>
      <c r="D1059" s="15" t="s">
        <v>34</v>
      </c>
      <c r="E1059" s="15" t="s">
        <v>284</v>
      </c>
      <c r="F1059" s="16" t="n">
        <v>218</v>
      </c>
      <c r="G1059" s="16" t="n">
        <v>1</v>
      </c>
      <c r="H1059" s="29" t="n">
        <v>15.2</v>
      </c>
      <c r="I1059" s="29" t="n">
        <f aca="false">H1059/G1059</f>
        <v>15.2</v>
      </c>
      <c r="J1059" s="15" t="s">
        <v>253</v>
      </c>
      <c r="K1059" s="15" t="s">
        <v>254</v>
      </c>
    </row>
    <row r="1060" customFormat="false" ht="18.75" hidden="false" customHeight="true" outlineLevel="0" collapsed="false">
      <c r="A1060" s="10" t="s">
        <v>1904</v>
      </c>
      <c r="B1060" s="10" t="s">
        <v>1167</v>
      </c>
      <c r="C1060" s="10" t="s">
        <v>160</v>
      </c>
      <c r="D1060" s="10" t="s">
        <v>36</v>
      </c>
      <c r="E1060" s="10" t="s">
        <v>284</v>
      </c>
      <c r="F1060" s="11" t="n">
        <v>267</v>
      </c>
      <c r="G1060" s="11" t="n">
        <v>1</v>
      </c>
      <c r="H1060" s="26" t="n">
        <v>8.73</v>
      </c>
      <c r="I1060" s="26" t="n">
        <f aca="false">H1060/G1060</f>
        <v>8.73</v>
      </c>
      <c r="J1060" s="10" t="s">
        <v>253</v>
      </c>
      <c r="K1060" s="10" t="s">
        <v>254</v>
      </c>
    </row>
    <row r="1061" customFormat="false" ht="18.75" hidden="false" customHeight="true" outlineLevel="0" collapsed="false">
      <c r="A1061" s="15" t="s">
        <v>1905</v>
      </c>
      <c r="B1061" s="15" t="s">
        <v>1221</v>
      </c>
      <c r="C1061" s="15" t="s">
        <v>155</v>
      </c>
      <c r="D1061" s="15" t="s">
        <v>34</v>
      </c>
      <c r="E1061" s="15" t="s">
        <v>284</v>
      </c>
      <c r="F1061" s="16" t="n">
        <v>61</v>
      </c>
      <c r="G1061" s="16" t="n">
        <v>1</v>
      </c>
      <c r="H1061" s="29" t="n">
        <v>8.55</v>
      </c>
      <c r="I1061" s="29" t="n">
        <f aca="false">H1061/G1061</f>
        <v>8.55</v>
      </c>
      <c r="J1061" s="15" t="s">
        <v>253</v>
      </c>
      <c r="K1061" s="15" t="s">
        <v>254</v>
      </c>
    </row>
    <row r="1062" customFormat="false" ht="21.75" hidden="false" customHeight="true" outlineLevel="0" collapsed="false">
      <c r="A1062" s="20" t="s">
        <v>1906</v>
      </c>
      <c r="B1062" s="20"/>
      <c r="C1062" s="20"/>
      <c r="D1062" s="20"/>
      <c r="E1062" s="20"/>
      <c r="F1062" s="35" t="n">
        <f aca="false">AVERAGE(F6:F1061)</f>
        <v>62.5984848484849</v>
      </c>
      <c r="G1062" s="21" t="n">
        <f aca="false">SUM(G6:G1061)</f>
        <v>7867</v>
      </c>
      <c r="H1062" s="32" t="n">
        <f aca="false">SUM(H6:H1061)</f>
        <v>6115289.54</v>
      </c>
      <c r="I1062" s="32" t="n">
        <f aca="false">H1062/G1062</f>
        <v>777.33437650947</v>
      </c>
      <c r="J1062" s="20"/>
      <c r="K1062" s="20"/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10" min="7" style="0" width="13"/>
  </cols>
  <sheetData>
    <row r="1" customFormat="false" ht="27.75" hidden="false" customHeight="true" outlineLevel="0" collapsed="false">
      <c r="A1" s="1" t="s">
        <v>1907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1908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9" t="s">
        <v>1909</v>
      </c>
      <c r="B4" s="9" t="s">
        <v>1910</v>
      </c>
      <c r="C4" s="9" t="s">
        <v>1911</v>
      </c>
      <c r="D4" s="9" t="s">
        <v>130</v>
      </c>
      <c r="E4" s="9" t="s">
        <v>131</v>
      </c>
      <c r="F4" s="9" t="s">
        <v>1912</v>
      </c>
      <c r="G4" s="9" t="s">
        <v>1913</v>
      </c>
      <c r="H4" s="9" t="s">
        <v>29</v>
      </c>
      <c r="I4" s="9" t="s">
        <v>32</v>
      </c>
      <c r="J4" s="9" t="s">
        <v>1914</v>
      </c>
    </row>
    <row r="5" customFormat="false" ht="18.75" hidden="false" customHeight="true" outlineLevel="0" collapsed="false">
      <c r="A5" s="10" t="s">
        <v>1915</v>
      </c>
      <c r="B5" s="10" t="s">
        <v>1916</v>
      </c>
      <c r="C5" s="10" t="s">
        <v>1917</v>
      </c>
      <c r="D5" s="10" t="s">
        <v>166</v>
      </c>
      <c r="E5" s="10" t="s">
        <v>35</v>
      </c>
      <c r="F5" s="10" t="s">
        <v>1918</v>
      </c>
      <c r="G5" s="11" t="n">
        <v>940</v>
      </c>
      <c r="H5" s="11" t="n">
        <v>829</v>
      </c>
      <c r="I5" s="13" t="n">
        <v>0.2468</v>
      </c>
      <c r="J5" s="13" t="n">
        <v>0.0521</v>
      </c>
    </row>
    <row r="6" customFormat="false" ht="18.75" hidden="false" customHeight="true" outlineLevel="0" collapsed="false">
      <c r="A6" s="15" t="s">
        <v>1919</v>
      </c>
      <c r="B6" s="15" t="s">
        <v>1920</v>
      </c>
      <c r="C6" s="15" t="s">
        <v>1921</v>
      </c>
      <c r="D6" s="15" t="s">
        <v>181</v>
      </c>
      <c r="E6" s="15" t="s">
        <v>36</v>
      </c>
      <c r="F6" s="15" t="s">
        <v>1922</v>
      </c>
      <c r="G6" s="16" t="n">
        <v>722</v>
      </c>
      <c r="H6" s="16" t="n">
        <v>635</v>
      </c>
      <c r="I6" s="18" t="n">
        <v>0.1787</v>
      </c>
      <c r="J6" s="18" t="n">
        <v>0.0609</v>
      </c>
    </row>
    <row r="7" customFormat="false" ht="18.75" hidden="false" customHeight="true" outlineLevel="0" collapsed="false">
      <c r="A7" s="10" t="s">
        <v>1923</v>
      </c>
      <c r="B7" s="10" t="s">
        <v>1924</v>
      </c>
      <c r="C7" s="10" t="s">
        <v>1917</v>
      </c>
      <c r="D7" s="10" t="s">
        <v>184</v>
      </c>
      <c r="E7" s="10" t="s">
        <v>34</v>
      </c>
      <c r="F7" s="10" t="s">
        <v>1922</v>
      </c>
      <c r="G7" s="11" t="n">
        <v>699</v>
      </c>
      <c r="H7" s="11" t="n">
        <v>626</v>
      </c>
      <c r="I7" s="13" t="n">
        <v>0.2031</v>
      </c>
      <c r="J7" s="13" t="n">
        <v>0.0329</v>
      </c>
    </row>
    <row r="8" customFormat="false" ht="18.75" hidden="false" customHeight="true" outlineLevel="0" collapsed="false">
      <c r="A8" s="15" t="s">
        <v>1925</v>
      </c>
      <c r="B8" s="15" t="s">
        <v>1926</v>
      </c>
      <c r="C8" s="15" t="s">
        <v>1917</v>
      </c>
      <c r="D8" s="15" t="s">
        <v>140</v>
      </c>
      <c r="E8" s="15" t="s">
        <v>35</v>
      </c>
      <c r="F8" s="15" t="s">
        <v>1922</v>
      </c>
      <c r="G8" s="16" t="n">
        <v>678</v>
      </c>
      <c r="H8" s="16" t="n">
        <v>599</v>
      </c>
      <c r="I8" s="18" t="n">
        <v>0.233</v>
      </c>
      <c r="J8" s="18" t="n">
        <v>0.0531</v>
      </c>
    </row>
    <row r="9" customFormat="false" ht="18.75" hidden="false" customHeight="true" outlineLevel="0" collapsed="false">
      <c r="A9" s="10" t="s">
        <v>1927</v>
      </c>
      <c r="B9" s="10" t="s">
        <v>1928</v>
      </c>
      <c r="C9" s="10" t="s">
        <v>1917</v>
      </c>
      <c r="D9" s="10" t="s">
        <v>149</v>
      </c>
      <c r="E9" s="10" t="s">
        <v>35</v>
      </c>
      <c r="F9" s="10" t="s">
        <v>1929</v>
      </c>
      <c r="G9" s="11" t="n">
        <v>608</v>
      </c>
      <c r="H9" s="11" t="n">
        <v>564</v>
      </c>
      <c r="I9" s="13" t="n">
        <v>0.2286</v>
      </c>
      <c r="J9" s="13" t="n">
        <v>0.0395</v>
      </c>
    </row>
    <row r="10" customFormat="false" ht="18.75" hidden="false" customHeight="true" outlineLevel="0" collapsed="false">
      <c r="A10" s="15" t="s">
        <v>1930</v>
      </c>
      <c r="B10" s="15" t="s">
        <v>1931</v>
      </c>
      <c r="C10" s="15" t="s">
        <v>1917</v>
      </c>
      <c r="D10" s="15" t="s">
        <v>219</v>
      </c>
      <c r="E10" s="15" t="s">
        <v>35</v>
      </c>
      <c r="F10" s="15" t="s">
        <v>1932</v>
      </c>
      <c r="G10" s="16" t="n">
        <v>588</v>
      </c>
      <c r="H10" s="16" t="n">
        <v>511</v>
      </c>
      <c r="I10" s="18" t="n">
        <v>0.267</v>
      </c>
      <c r="J10" s="18" t="n">
        <v>0.0646</v>
      </c>
    </row>
    <row r="11" customFormat="false" ht="18.75" hidden="false" customHeight="true" outlineLevel="0" collapsed="false">
      <c r="A11" s="10" t="s">
        <v>1933</v>
      </c>
      <c r="B11" s="10" t="s">
        <v>1934</v>
      </c>
      <c r="C11" s="10" t="s">
        <v>1921</v>
      </c>
      <c r="D11" s="10" t="s">
        <v>160</v>
      </c>
      <c r="E11" s="10" t="s">
        <v>36</v>
      </c>
      <c r="F11" s="10" t="s">
        <v>1932</v>
      </c>
      <c r="G11" s="11" t="n">
        <v>582</v>
      </c>
      <c r="H11" s="11" t="n">
        <v>508</v>
      </c>
      <c r="I11" s="13" t="n">
        <v>0.1701</v>
      </c>
      <c r="J11" s="13" t="n">
        <v>0.0498</v>
      </c>
    </row>
    <row r="12" customFormat="false" ht="18.75" hidden="false" customHeight="true" outlineLevel="0" collapsed="false">
      <c r="A12" s="15" t="s">
        <v>1935</v>
      </c>
      <c r="B12" s="15" t="s">
        <v>1936</v>
      </c>
      <c r="C12" s="15" t="s">
        <v>1937</v>
      </c>
      <c r="D12" s="15" t="s">
        <v>146</v>
      </c>
      <c r="E12" s="15" t="s">
        <v>34</v>
      </c>
      <c r="F12" s="15" t="s">
        <v>1932</v>
      </c>
      <c r="G12" s="16" t="n">
        <v>550</v>
      </c>
      <c r="H12" s="16" t="n">
        <v>490</v>
      </c>
      <c r="I12" s="18" t="n">
        <v>0.1582</v>
      </c>
      <c r="J12" s="18" t="n">
        <v>0.0491</v>
      </c>
    </row>
    <row r="13" customFormat="false" ht="18.75" hidden="false" customHeight="true" outlineLevel="0" collapsed="false">
      <c r="A13" s="10" t="s">
        <v>1938</v>
      </c>
      <c r="B13" s="10" t="s">
        <v>1939</v>
      </c>
      <c r="C13" s="10" t="s">
        <v>1940</v>
      </c>
      <c r="D13" s="10" t="s">
        <v>1941</v>
      </c>
      <c r="E13" s="10" t="s">
        <v>34</v>
      </c>
      <c r="F13" s="10" t="s">
        <v>1932</v>
      </c>
      <c r="G13" s="11" t="n">
        <v>532</v>
      </c>
      <c r="H13" s="11" t="n">
        <v>474</v>
      </c>
      <c r="I13" s="13" t="n">
        <v>0.235</v>
      </c>
      <c r="J13" s="13" t="n">
        <v>0.0526</v>
      </c>
    </row>
    <row r="14" customFormat="false" ht="18.75" hidden="false" customHeight="true" outlineLevel="0" collapsed="false">
      <c r="A14" s="15" t="s">
        <v>1942</v>
      </c>
      <c r="B14" s="15" t="s">
        <v>1943</v>
      </c>
      <c r="C14" s="15" t="s">
        <v>1917</v>
      </c>
      <c r="D14" s="15" t="s">
        <v>152</v>
      </c>
      <c r="E14" s="15" t="s">
        <v>35</v>
      </c>
      <c r="F14" s="15" t="s">
        <v>1944</v>
      </c>
      <c r="G14" s="16" t="n">
        <v>424</v>
      </c>
      <c r="H14" s="16" t="n">
        <v>365</v>
      </c>
      <c r="I14" s="18" t="n">
        <v>0.2594</v>
      </c>
      <c r="J14" s="18" t="n">
        <v>0.0731</v>
      </c>
    </row>
    <row r="15" customFormat="false" ht="18.75" hidden="false" customHeight="true" outlineLevel="0" collapsed="false">
      <c r="A15" s="10" t="s">
        <v>1945</v>
      </c>
      <c r="B15" s="10" t="s">
        <v>1946</v>
      </c>
      <c r="C15" s="10" t="s">
        <v>1917</v>
      </c>
      <c r="D15" s="10" t="s">
        <v>207</v>
      </c>
      <c r="E15" s="10" t="s">
        <v>35</v>
      </c>
      <c r="F15" s="10" t="s">
        <v>1944</v>
      </c>
      <c r="G15" s="11" t="n">
        <v>419</v>
      </c>
      <c r="H15" s="11" t="n">
        <v>377</v>
      </c>
      <c r="I15" s="13" t="n">
        <v>0.2458</v>
      </c>
      <c r="J15" s="13" t="n">
        <v>0.0525</v>
      </c>
    </row>
    <row r="16" customFormat="false" ht="18.75" hidden="false" customHeight="true" outlineLevel="0" collapsed="false">
      <c r="A16" s="15" t="s">
        <v>1947</v>
      </c>
      <c r="B16" s="15" t="s">
        <v>1948</v>
      </c>
      <c r="C16" s="15" t="s">
        <v>1937</v>
      </c>
      <c r="D16" s="15" t="s">
        <v>155</v>
      </c>
      <c r="E16" s="15" t="s">
        <v>34</v>
      </c>
      <c r="F16" s="15" t="s">
        <v>1944</v>
      </c>
      <c r="G16" s="16" t="n">
        <v>407</v>
      </c>
      <c r="H16" s="16" t="n">
        <v>362</v>
      </c>
      <c r="I16" s="18" t="n">
        <v>0.1941</v>
      </c>
      <c r="J16" s="18" t="n">
        <v>0.0516</v>
      </c>
    </row>
    <row r="17" customFormat="false" ht="18.75" hidden="false" customHeight="true" outlineLevel="0" collapsed="false">
      <c r="A17" s="10" t="s">
        <v>1949</v>
      </c>
      <c r="B17" s="10" t="s">
        <v>1950</v>
      </c>
      <c r="C17" s="10" t="s">
        <v>1921</v>
      </c>
      <c r="D17" s="10" t="s">
        <v>163</v>
      </c>
      <c r="E17" s="10" t="s">
        <v>36</v>
      </c>
      <c r="F17" s="10" t="s">
        <v>1944</v>
      </c>
      <c r="G17" s="11" t="n">
        <v>407</v>
      </c>
      <c r="H17" s="11" t="n">
        <v>370</v>
      </c>
      <c r="I17" s="13" t="n">
        <v>0.1327</v>
      </c>
      <c r="J17" s="13" t="n">
        <v>0.0418</v>
      </c>
    </row>
    <row r="18" customFormat="false" ht="18.75" hidden="false" customHeight="true" outlineLevel="0" collapsed="false">
      <c r="A18" s="15" t="s">
        <v>1951</v>
      </c>
      <c r="B18" s="15" t="s">
        <v>1952</v>
      </c>
      <c r="C18" s="15" t="s">
        <v>1940</v>
      </c>
      <c r="D18" s="15" t="s">
        <v>1953</v>
      </c>
      <c r="E18" s="15" t="s">
        <v>34</v>
      </c>
      <c r="F18" s="15" t="s">
        <v>1944</v>
      </c>
      <c r="G18" s="16" t="n">
        <v>383</v>
      </c>
      <c r="H18" s="16" t="n">
        <v>335</v>
      </c>
      <c r="I18" s="18" t="n">
        <v>0.2428</v>
      </c>
      <c r="J18" s="18" t="n">
        <v>0.0601</v>
      </c>
    </row>
    <row r="19" customFormat="false" ht="18.75" hidden="false" customHeight="true" outlineLevel="0" collapsed="false">
      <c r="A19" s="10" t="s">
        <v>1954</v>
      </c>
      <c r="B19" s="10" t="s">
        <v>1955</v>
      </c>
      <c r="C19" s="10" t="s">
        <v>1917</v>
      </c>
      <c r="D19" s="10" t="s">
        <v>163</v>
      </c>
      <c r="E19" s="10" t="s">
        <v>36</v>
      </c>
      <c r="F19" s="10" t="s">
        <v>1944</v>
      </c>
      <c r="G19" s="11" t="n">
        <v>367</v>
      </c>
      <c r="H19" s="11" t="n">
        <v>327</v>
      </c>
      <c r="I19" s="13" t="n">
        <v>0.2289</v>
      </c>
      <c r="J19" s="13" t="n">
        <v>0.0409</v>
      </c>
    </row>
    <row r="20" customFormat="false" ht="18.75" hidden="false" customHeight="true" outlineLevel="0" collapsed="false">
      <c r="A20" s="15" t="s">
        <v>1956</v>
      </c>
      <c r="B20" s="15" t="s">
        <v>1957</v>
      </c>
      <c r="C20" s="15" t="s">
        <v>1940</v>
      </c>
      <c r="D20" s="15" t="s">
        <v>1958</v>
      </c>
      <c r="E20" s="15" t="s">
        <v>34</v>
      </c>
      <c r="F20" s="15" t="s">
        <v>1959</v>
      </c>
      <c r="G20" s="16" t="n">
        <v>284</v>
      </c>
      <c r="H20" s="16" t="n">
        <v>248</v>
      </c>
      <c r="I20" s="18" t="n">
        <v>0.257</v>
      </c>
      <c r="J20" s="18" t="n">
        <v>0.0493</v>
      </c>
    </row>
    <row r="21" customFormat="false" ht="18.75" hidden="false" customHeight="true" outlineLevel="0" collapsed="false">
      <c r="A21" s="10" t="s">
        <v>1960</v>
      </c>
      <c r="B21" s="10" t="s">
        <v>1961</v>
      </c>
      <c r="C21" s="10" t="s">
        <v>1937</v>
      </c>
      <c r="D21" s="10" t="s">
        <v>216</v>
      </c>
      <c r="E21" s="10" t="s">
        <v>34</v>
      </c>
      <c r="F21" s="10" t="s">
        <v>1959</v>
      </c>
      <c r="G21" s="11" t="n">
        <v>276</v>
      </c>
      <c r="H21" s="11" t="n">
        <v>247</v>
      </c>
      <c r="I21" s="13" t="n">
        <v>0.1522</v>
      </c>
      <c r="J21" s="13" t="n">
        <v>0.0471</v>
      </c>
    </row>
    <row r="22" customFormat="false" ht="21.75" hidden="false" customHeight="true" outlineLevel="0" collapsed="false">
      <c r="A22" s="20" t="s">
        <v>1962</v>
      </c>
      <c r="B22" s="20"/>
      <c r="C22" s="20"/>
      <c r="D22" s="20"/>
      <c r="E22" s="20"/>
      <c r="F22" s="20"/>
      <c r="G22" s="21" t="n">
        <f aca="false">SUM(G5:G21)</f>
        <v>8866</v>
      </c>
      <c r="H22" s="21" t="n">
        <f aca="false">SUM(H5:H21)</f>
        <v>7867</v>
      </c>
      <c r="I22" s="23" t="n">
        <f aca="false">AVERAGE(I5:I21)</f>
        <v>0.213729411764706</v>
      </c>
      <c r="J22" s="23" t="n">
        <f aca="false">AVERAGE(J5:J21)</f>
        <v>0.0512352941176471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39"/>
    <col collapsed="false" customWidth="true" hidden="false" outlineLevel="0" max="6" min="4" style="0" width="13"/>
  </cols>
  <sheetData>
    <row r="1" customFormat="false" ht="27.75" hidden="false" customHeight="true" outlineLevel="0" collapsed="false">
      <c r="A1" s="1" t="s">
        <v>1963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1964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9" t="s">
        <v>1965</v>
      </c>
      <c r="B4" s="9" t="s">
        <v>1966</v>
      </c>
      <c r="C4" s="9" t="s">
        <v>1967</v>
      </c>
      <c r="D4" s="36" t="s">
        <v>1968</v>
      </c>
      <c r="E4" s="36"/>
      <c r="F4" s="36"/>
    </row>
    <row r="5" customFormat="false" ht="21.75" hidden="false" customHeight="true" outlineLevel="0" collapsed="false">
      <c r="A5" s="37" t="s">
        <v>1969</v>
      </c>
      <c r="B5" s="38" t="s">
        <v>1970</v>
      </c>
      <c r="C5" s="38" t="s">
        <v>1971</v>
      </c>
      <c r="D5" s="38" t="s">
        <v>1972</v>
      </c>
      <c r="E5" s="38"/>
      <c r="F5" s="38"/>
    </row>
    <row r="6" customFormat="false" ht="21.75" hidden="false" customHeight="true" outlineLevel="0" collapsed="false">
      <c r="A6" s="39" t="s">
        <v>1973</v>
      </c>
      <c r="B6" s="40" t="s">
        <v>1974</v>
      </c>
      <c r="C6" s="40" t="s">
        <v>1975</v>
      </c>
      <c r="D6" s="40" t="s">
        <v>1976</v>
      </c>
      <c r="E6" s="40"/>
      <c r="F6" s="40"/>
    </row>
    <row r="7" customFormat="false" ht="21.75" hidden="false" customHeight="true" outlineLevel="0" collapsed="false">
      <c r="A7" s="37" t="s">
        <v>1977</v>
      </c>
      <c r="B7" s="38" t="s">
        <v>1978</v>
      </c>
      <c r="C7" s="38" t="s">
        <v>1979</v>
      </c>
      <c r="D7" s="38" t="s">
        <v>1980</v>
      </c>
      <c r="E7" s="38"/>
      <c r="F7" s="38"/>
    </row>
    <row r="8" customFormat="false" ht="21.75" hidden="false" customHeight="true" outlineLevel="0" collapsed="false">
      <c r="A8" s="39" t="s">
        <v>51</v>
      </c>
      <c r="B8" s="40" t="s">
        <v>1981</v>
      </c>
      <c r="C8" s="40" t="s">
        <v>1982</v>
      </c>
      <c r="D8" s="40" t="s">
        <v>1983</v>
      </c>
      <c r="E8" s="40"/>
      <c r="F8" s="40"/>
    </row>
    <row r="9" customFormat="false" ht="21.75" hidden="false" customHeight="true" outlineLevel="0" collapsed="false">
      <c r="A9" s="37" t="s">
        <v>1984</v>
      </c>
      <c r="B9" s="38" t="s">
        <v>1985</v>
      </c>
      <c r="C9" s="38" t="s">
        <v>1986</v>
      </c>
      <c r="D9" s="38" t="s">
        <v>1987</v>
      </c>
      <c r="E9" s="38"/>
      <c r="F9" s="38"/>
    </row>
    <row r="10" customFormat="false" ht="21.75" hidden="false" customHeight="true" outlineLevel="0" collapsed="false">
      <c r="A10" s="39" t="s">
        <v>1988</v>
      </c>
      <c r="B10" s="40" t="s">
        <v>1989</v>
      </c>
      <c r="C10" s="40" t="s">
        <v>1990</v>
      </c>
      <c r="D10" s="40" t="s">
        <v>1991</v>
      </c>
      <c r="E10" s="40"/>
      <c r="F10" s="40"/>
    </row>
    <row r="11" customFormat="false" ht="21.75" hidden="false" customHeight="true" outlineLevel="0" collapsed="false">
      <c r="A11" s="37" t="s">
        <v>1992</v>
      </c>
      <c r="B11" s="38" t="s">
        <v>1993</v>
      </c>
      <c r="C11" s="38" t="s">
        <v>1994</v>
      </c>
      <c r="D11" s="38" t="s">
        <v>1995</v>
      </c>
      <c r="E11" s="38"/>
      <c r="F11" s="38"/>
    </row>
    <row r="12" customFormat="false" ht="21.75" hidden="false" customHeight="true" outlineLevel="0" collapsed="false">
      <c r="A12" s="39" t="s">
        <v>1996</v>
      </c>
      <c r="B12" s="40" t="s">
        <v>1997</v>
      </c>
      <c r="C12" s="40" t="s">
        <v>1998</v>
      </c>
      <c r="D12" s="40" t="s">
        <v>1999</v>
      </c>
      <c r="E12" s="40"/>
      <c r="F12" s="40"/>
    </row>
    <row r="13" customFormat="false" ht="21.75" hidden="false" customHeight="true" outlineLevel="0" collapsed="false">
      <c r="A13" s="37" t="s">
        <v>2000</v>
      </c>
      <c r="B13" s="38" t="s">
        <v>2001</v>
      </c>
      <c r="C13" s="38" t="s">
        <v>2002</v>
      </c>
      <c r="D13" s="38" t="s">
        <v>2003</v>
      </c>
      <c r="E13" s="38"/>
      <c r="F13" s="38"/>
    </row>
    <row r="14" customFormat="false" ht="21.75" hidden="false" customHeight="true" outlineLevel="0" collapsed="false">
      <c r="A14" s="39" t="s">
        <v>2004</v>
      </c>
      <c r="B14" s="40" t="s">
        <v>2005</v>
      </c>
      <c r="C14" s="40" t="s">
        <v>2006</v>
      </c>
      <c r="D14" s="40" t="s">
        <v>2007</v>
      </c>
      <c r="E14" s="40"/>
      <c r="F14" s="40"/>
    </row>
  </sheetData>
  <mergeCells count="13">
    <mergeCell ref="A1:F1"/>
    <mergeCell ref="A2:F2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2026-10-10T14:11:10Z</dcterms:created>
  <dc:creator>openpyxl</dc:creator>
  <dc:description/>
  <dc:language>en-US</dc:language>
  <cp:lastModifiedBy/>
  <dcterms:modified xsi:type="dcterms:W3CDTF">2026-10-10T14:11:11Z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